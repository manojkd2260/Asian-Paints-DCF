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nance project dcf\Asian Paints\"/>
    </mc:Choice>
  </mc:AlternateContent>
  <xr:revisionPtr revIDLastSave="0" documentId="13_ncr:1_{D0F1413E-5958-414D-90DB-F84E5F3CAE1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CF Model" sheetId="1" r:id="rId1"/>
    <sheet name="Comps" sheetId="2" r:id="rId2"/>
    <sheet name="Data Sheet" sheetId="3" r:id="rId3"/>
  </sheets>
  <definedNames>
    <definedName name="tax_rate">'DCF Model'!$C$36</definedName>
    <definedName name="UPDATE">'Data Sheet'!$E$1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5" i="2" l="1"/>
  <c r="K35" i="2"/>
  <c r="J35" i="2"/>
  <c r="I35" i="2"/>
  <c r="N35" i="2" s="1"/>
  <c r="H35" i="2"/>
  <c r="G35" i="2"/>
  <c r="F35" i="2"/>
  <c r="O35" i="2" s="1"/>
  <c r="E35" i="2"/>
  <c r="D35" i="2"/>
  <c r="C35" i="2"/>
  <c r="B35" i="2"/>
  <c r="O34" i="2"/>
  <c r="L34" i="2"/>
  <c r="K34" i="2"/>
  <c r="J34" i="2"/>
  <c r="H34" i="2"/>
  <c r="G34" i="2"/>
  <c r="I34" i="2" s="1"/>
  <c r="F34" i="2"/>
  <c r="E34" i="2"/>
  <c r="D34" i="2"/>
  <c r="C34" i="2"/>
  <c r="B34" i="2"/>
  <c r="O33" i="2"/>
  <c r="L33" i="2"/>
  <c r="K33" i="2"/>
  <c r="J33" i="2"/>
  <c r="I33" i="2"/>
  <c r="N33" i="2" s="1"/>
  <c r="H33" i="2"/>
  <c r="G33" i="2"/>
  <c r="F33" i="2"/>
  <c r="E33" i="2"/>
  <c r="D33" i="2"/>
  <c r="C33" i="2"/>
  <c r="B33" i="2"/>
  <c r="O32" i="2"/>
  <c r="L32" i="2"/>
  <c r="K32" i="2"/>
  <c r="J32" i="2"/>
  <c r="H32" i="2"/>
  <c r="G32" i="2"/>
  <c r="I32" i="2" s="1"/>
  <c r="F32" i="2"/>
  <c r="E32" i="2"/>
  <c r="D32" i="2"/>
  <c r="C32" i="2"/>
  <c r="B32" i="2"/>
  <c r="C31" i="2"/>
  <c r="B31" i="2"/>
  <c r="H23" i="2"/>
  <c r="G23" i="2"/>
  <c r="D23" i="2"/>
  <c r="F23" i="2" s="1"/>
  <c r="C23" i="2"/>
  <c r="B23" i="2"/>
  <c r="H22" i="2"/>
  <c r="I22" i="2" s="1"/>
  <c r="G22" i="2"/>
  <c r="D22" i="2"/>
  <c r="E22" i="2" s="1"/>
  <c r="C22" i="2"/>
  <c r="F22" i="2" s="1"/>
  <c r="B22" i="2"/>
  <c r="H21" i="2"/>
  <c r="I21" i="2" s="1"/>
  <c r="G21" i="2"/>
  <c r="D21" i="2"/>
  <c r="E21" i="2" s="1"/>
  <c r="C21" i="2"/>
  <c r="F21" i="2" s="1"/>
  <c r="B21" i="2"/>
  <c r="H20" i="2"/>
  <c r="H25" i="2" s="1"/>
  <c r="G20" i="2"/>
  <c r="G24" i="2" s="1"/>
  <c r="D20" i="2"/>
  <c r="E20" i="2" s="1"/>
  <c r="C20" i="2"/>
  <c r="F20" i="2" s="1"/>
  <c r="B20" i="2"/>
  <c r="M14" i="2"/>
  <c r="L14" i="2"/>
  <c r="M13" i="2"/>
  <c r="L13" i="2"/>
  <c r="M12" i="2"/>
  <c r="L12" i="2"/>
  <c r="M11" i="2"/>
  <c r="L11" i="2"/>
  <c r="E10" i="2"/>
  <c r="F31" i="2" s="1"/>
  <c r="D10" i="2"/>
  <c r="D31" i="2" s="1"/>
  <c r="C157" i="1"/>
  <c r="C155" i="1"/>
  <c r="C126" i="1"/>
  <c r="C117" i="1"/>
  <c r="C115" i="1"/>
  <c r="C114" i="1"/>
  <c r="C109" i="1"/>
  <c r="D86" i="1"/>
  <c r="D88" i="1" s="1"/>
  <c r="C86" i="1"/>
  <c r="C88" i="1" s="1"/>
  <c r="E85" i="1"/>
  <c r="H78" i="1"/>
  <c r="G78" i="1"/>
  <c r="F78" i="1"/>
  <c r="E78" i="1"/>
  <c r="D78" i="1"/>
  <c r="C78" i="1"/>
  <c r="H77" i="1"/>
  <c r="K10" i="2" s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C79" i="1" s="1"/>
  <c r="H72" i="1"/>
  <c r="H79" i="1" s="1"/>
  <c r="G72" i="1"/>
  <c r="G79" i="1" s="1"/>
  <c r="F72" i="1"/>
  <c r="F79" i="1" s="1"/>
  <c r="E72" i="1"/>
  <c r="E79" i="1" s="1"/>
  <c r="D72" i="1"/>
  <c r="D79" i="1" s="1"/>
  <c r="C72" i="1"/>
  <c r="H70" i="1"/>
  <c r="G70" i="1"/>
  <c r="F70" i="1"/>
  <c r="E70" i="1"/>
  <c r="D70" i="1"/>
  <c r="C70" i="1"/>
  <c r="H69" i="1"/>
  <c r="J10" i="2" s="1"/>
  <c r="G69" i="1"/>
  <c r="F69" i="1"/>
  <c r="E69" i="1"/>
  <c r="D69" i="1"/>
  <c r="C69" i="1"/>
  <c r="H68" i="1"/>
  <c r="G68" i="1"/>
  <c r="F68" i="1"/>
  <c r="E68" i="1"/>
  <c r="E71" i="1" s="1"/>
  <c r="D68" i="1"/>
  <c r="C68" i="1"/>
  <c r="H67" i="1"/>
  <c r="H71" i="1" s="1"/>
  <c r="G67" i="1"/>
  <c r="G71" i="1" s="1"/>
  <c r="F67" i="1"/>
  <c r="F71" i="1" s="1"/>
  <c r="E67" i="1"/>
  <c r="D67" i="1"/>
  <c r="D71" i="1" s="1"/>
  <c r="C67" i="1"/>
  <c r="C71" i="1" s="1"/>
  <c r="E66" i="1"/>
  <c r="F66" i="1" s="1"/>
  <c r="G66" i="1" s="1"/>
  <c r="H66" i="1" s="1"/>
  <c r="D66" i="1"/>
  <c r="H60" i="1"/>
  <c r="G60" i="1"/>
  <c r="F60" i="1"/>
  <c r="E60" i="1"/>
  <c r="D60" i="1"/>
  <c r="C60" i="1"/>
  <c r="H56" i="1"/>
  <c r="H57" i="1" s="1"/>
  <c r="G56" i="1"/>
  <c r="G57" i="1" s="1"/>
  <c r="F56" i="1"/>
  <c r="F57" i="1" s="1"/>
  <c r="E56" i="1"/>
  <c r="E57" i="1" s="1"/>
  <c r="D56" i="1"/>
  <c r="D57" i="1" s="1"/>
  <c r="C56" i="1"/>
  <c r="C57" i="1" s="1"/>
  <c r="H55" i="1"/>
  <c r="G55" i="1"/>
  <c r="F55" i="1"/>
  <c r="E55" i="1"/>
  <c r="D55" i="1"/>
  <c r="C55" i="1"/>
  <c r="H51" i="1"/>
  <c r="G51" i="1"/>
  <c r="G52" i="1" s="1"/>
  <c r="F51" i="1"/>
  <c r="F52" i="1" s="1"/>
  <c r="E51" i="1"/>
  <c r="E52" i="1" s="1"/>
  <c r="D51" i="1"/>
  <c r="C51" i="1"/>
  <c r="C52" i="1" s="1"/>
  <c r="H47" i="1"/>
  <c r="H48" i="1" s="1"/>
  <c r="G47" i="1"/>
  <c r="G48" i="1" s="1"/>
  <c r="F47" i="1"/>
  <c r="F48" i="1" s="1"/>
  <c r="E47" i="1"/>
  <c r="D47" i="1"/>
  <c r="C47" i="1"/>
  <c r="C48" i="1" s="1"/>
  <c r="G44" i="1"/>
  <c r="C44" i="1"/>
  <c r="H43" i="1"/>
  <c r="G43" i="1"/>
  <c r="G45" i="1" s="1"/>
  <c r="F43" i="1"/>
  <c r="F45" i="1" s="1"/>
  <c r="E43" i="1"/>
  <c r="E45" i="1" s="1"/>
  <c r="D43" i="1"/>
  <c r="C43" i="1"/>
  <c r="C45" i="1" s="1"/>
  <c r="G42" i="1"/>
  <c r="H41" i="1"/>
  <c r="F10" i="2" s="1"/>
  <c r="J31" i="2" s="1"/>
  <c r="G41" i="1"/>
  <c r="F41" i="1"/>
  <c r="F42" i="1" s="1"/>
  <c r="E41" i="1"/>
  <c r="E42" i="1" s="1"/>
  <c r="D41" i="1"/>
  <c r="D42" i="1" s="1"/>
  <c r="C41" i="1"/>
  <c r="D40" i="1"/>
  <c r="E40" i="1" s="1"/>
  <c r="F40" i="1" s="1"/>
  <c r="G40" i="1" s="1"/>
  <c r="H40" i="1" s="1"/>
  <c r="C35" i="1"/>
  <c r="C118" i="1" s="1"/>
  <c r="K87" i="3"/>
  <c r="H87" i="3"/>
  <c r="G87" i="3"/>
  <c r="K86" i="3"/>
  <c r="J86" i="3"/>
  <c r="J87" i="3" s="1"/>
  <c r="I86" i="3"/>
  <c r="I87" i="3" s="1"/>
  <c r="H86" i="3"/>
  <c r="G86" i="3"/>
  <c r="F86" i="3"/>
  <c r="F87" i="3" s="1"/>
  <c r="B6" i="3"/>
  <c r="E1" i="3"/>
  <c r="E49" i="1" l="1"/>
  <c r="E46" i="1"/>
  <c r="F49" i="1"/>
  <c r="F46" i="1"/>
  <c r="C49" i="1"/>
  <c r="C46" i="1"/>
  <c r="G49" i="1"/>
  <c r="G46" i="1"/>
  <c r="H42" i="1"/>
  <c r="E44" i="1"/>
  <c r="H31" i="2"/>
  <c r="C153" i="1"/>
  <c r="F44" i="1"/>
  <c r="D45" i="1"/>
  <c r="H45" i="1"/>
  <c r="C84" i="1"/>
  <c r="E31" i="2"/>
  <c r="I23" i="2"/>
  <c r="N32" i="2"/>
  <c r="M32" i="2"/>
  <c r="D52" i="1"/>
  <c r="D44" i="1"/>
  <c r="H44" i="1"/>
  <c r="E48" i="1"/>
  <c r="C110" i="1"/>
  <c r="G31" i="2"/>
  <c r="I31" i="2" s="1"/>
  <c r="F25" i="2"/>
  <c r="C106" i="1" s="1"/>
  <c r="C107" i="1" s="1"/>
  <c r="F24" i="2"/>
  <c r="D48" i="1"/>
  <c r="D87" i="1"/>
  <c r="E86" i="1"/>
  <c r="H52" i="1"/>
  <c r="N34" i="2"/>
  <c r="M34" i="2"/>
  <c r="C87" i="1"/>
  <c r="C83" i="1" s="1"/>
  <c r="I20" i="2"/>
  <c r="E23" i="2"/>
  <c r="E25" i="2" s="1"/>
  <c r="H24" i="2"/>
  <c r="G25" i="2"/>
  <c r="D83" i="1"/>
  <c r="M33" i="2"/>
  <c r="M35" i="2"/>
  <c r="M31" i="2" l="1"/>
  <c r="M36" i="2" s="1"/>
  <c r="C92" i="1"/>
  <c r="D84" i="1"/>
  <c r="C50" i="1"/>
  <c r="C53" i="1"/>
  <c r="E24" i="2"/>
  <c r="H46" i="1"/>
  <c r="H49" i="1"/>
  <c r="F53" i="1"/>
  <c r="F50" i="1"/>
  <c r="C152" i="1"/>
  <c r="C111" i="1"/>
  <c r="E87" i="1"/>
  <c r="E83" i="1" s="1"/>
  <c r="F86" i="1"/>
  <c r="E88" i="1"/>
  <c r="D46" i="1"/>
  <c r="D49" i="1"/>
  <c r="G50" i="1"/>
  <c r="G53" i="1"/>
  <c r="E53" i="1"/>
  <c r="E50" i="1"/>
  <c r="I25" i="2"/>
  <c r="C119" i="1" s="1"/>
  <c r="C120" i="1" s="1"/>
  <c r="C121" i="1" s="1"/>
  <c r="I24" i="2"/>
  <c r="F163" i="1" l="1"/>
  <c r="H133" i="1"/>
  <c r="D133" i="1"/>
  <c r="G133" i="1"/>
  <c r="C133" i="1"/>
  <c r="F133" i="1"/>
  <c r="I133" i="1"/>
  <c r="E133" i="1"/>
  <c r="C95" i="1"/>
  <c r="C99" i="1" s="1"/>
  <c r="D92" i="1"/>
  <c r="E84" i="1"/>
  <c r="G86" i="1"/>
  <c r="F88" i="1"/>
  <c r="F87" i="1"/>
  <c r="F83" i="1" s="1"/>
  <c r="D53" i="1"/>
  <c r="D50" i="1"/>
  <c r="G58" i="1"/>
  <c r="G54" i="1"/>
  <c r="J88" i="3"/>
  <c r="J89" i="3" s="1"/>
  <c r="F58" i="1"/>
  <c r="F54" i="1"/>
  <c r="I88" i="3"/>
  <c r="I89" i="3" s="1"/>
  <c r="C58" i="1"/>
  <c r="C54" i="1"/>
  <c r="F88" i="3"/>
  <c r="F89" i="3" s="1"/>
  <c r="E58" i="1"/>
  <c r="E54" i="1"/>
  <c r="H88" i="3"/>
  <c r="H89" i="3" s="1"/>
  <c r="G10" i="2"/>
  <c r="H53" i="1"/>
  <c r="H50" i="1"/>
  <c r="C93" i="1" s="1"/>
  <c r="D93" i="1" s="1"/>
  <c r="E93" i="1" s="1"/>
  <c r="F93" i="1" s="1"/>
  <c r="G93" i="1" s="1"/>
  <c r="H93" i="1" s="1"/>
  <c r="C62" i="1" l="1"/>
  <c r="C63" i="1" s="1"/>
  <c r="C59" i="1"/>
  <c r="C61" i="1"/>
  <c r="D54" i="1"/>
  <c r="D58" i="1"/>
  <c r="G88" i="3"/>
  <c r="G89" i="3" s="1"/>
  <c r="E92" i="1"/>
  <c r="F84" i="1"/>
  <c r="K31" i="2"/>
  <c r="N31" i="2" s="1"/>
  <c r="N36" i="2" s="1"/>
  <c r="L10" i="2"/>
  <c r="G62" i="1"/>
  <c r="G63" i="1" s="1"/>
  <c r="G59" i="1"/>
  <c r="G61" i="1"/>
  <c r="K88" i="3"/>
  <c r="K89" i="3" s="1"/>
  <c r="H54" i="1"/>
  <c r="H58" i="1"/>
  <c r="E59" i="1"/>
  <c r="E62" i="1"/>
  <c r="E63" i="1" s="1"/>
  <c r="E61" i="1"/>
  <c r="D94" i="1"/>
  <c r="D95" i="1"/>
  <c r="D99" i="1" s="1"/>
  <c r="C94" i="1"/>
  <c r="C96" i="1" s="1"/>
  <c r="F62" i="1"/>
  <c r="F63" i="1" s="1"/>
  <c r="F59" i="1"/>
  <c r="F61" i="1"/>
  <c r="G88" i="1"/>
  <c r="G87" i="1"/>
  <c r="G83" i="1" s="1"/>
  <c r="H86" i="1"/>
  <c r="E163" i="1"/>
  <c r="D163" i="1" s="1"/>
  <c r="C163" i="1" s="1"/>
  <c r="G163" i="1"/>
  <c r="H163" i="1" s="1"/>
  <c r="D96" i="1" l="1"/>
  <c r="D97" i="1" s="1"/>
  <c r="D98" i="1" s="1"/>
  <c r="H62" i="1"/>
  <c r="H59" i="1"/>
  <c r="H61" i="1"/>
  <c r="F92" i="1"/>
  <c r="G84" i="1"/>
  <c r="E94" i="1"/>
  <c r="E95" i="1"/>
  <c r="E99" i="1" s="1"/>
  <c r="C97" i="1"/>
  <c r="C98" i="1"/>
  <c r="H87" i="1"/>
  <c r="H83" i="1" s="1"/>
  <c r="H88" i="1"/>
  <c r="D62" i="1"/>
  <c r="D63" i="1" s="1"/>
  <c r="D59" i="1"/>
  <c r="D61" i="1"/>
  <c r="D100" i="1" l="1"/>
  <c r="D101" i="1" s="1"/>
  <c r="D132" i="1" s="1"/>
  <c r="D134" i="1" s="1"/>
  <c r="E96" i="1"/>
  <c r="C100" i="1"/>
  <c r="C101" i="1" s="1"/>
  <c r="C132" i="1" s="1"/>
  <c r="G92" i="1"/>
  <c r="H84" i="1"/>
  <c r="H92" i="1" s="1"/>
  <c r="H10" i="2"/>
  <c r="H63" i="1"/>
  <c r="F95" i="1"/>
  <c r="F99" i="1" s="1"/>
  <c r="F94" i="1"/>
  <c r="C134" i="1" l="1"/>
  <c r="L31" i="2"/>
  <c r="O31" i="2" s="1"/>
  <c r="O36" i="2" s="1"/>
  <c r="M10" i="2"/>
  <c r="F96" i="1"/>
  <c r="H94" i="1"/>
  <c r="H95" i="1"/>
  <c r="H99" i="1" s="1"/>
  <c r="E97" i="1"/>
  <c r="E98" i="1" s="1"/>
  <c r="G95" i="1"/>
  <c r="G99" i="1" s="1"/>
  <c r="G94" i="1"/>
  <c r="G96" i="1" l="1"/>
  <c r="H96" i="1"/>
  <c r="F97" i="1"/>
  <c r="F98" i="1" s="1"/>
  <c r="G97" i="1"/>
  <c r="G98" i="1" s="1"/>
  <c r="E100" i="1"/>
  <c r="E101" i="1" s="1"/>
  <c r="E132" i="1" s="1"/>
  <c r="E134" i="1" s="1"/>
  <c r="G100" i="1" l="1"/>
  <c r="G101" i="1" s="1"/>
  <c r="G132" i="1" s="1"/>
  <c r="G134" i="1" s="1"/>
  <c r="F100" i="1"/>
  <c r="F101" i="1" s="1"/>
  <c r="F132" i="1" s="1"/>
  <c r="F134" i="1" s="1"/>
  <c r="H97" i="1"/>
  <c r="H98" i="1" s="1"/>
  <c r="H100" i="1" l="1"/>
  <c r="H101" i="1" s="1"/>
  <c r="H132" i="1" l="1"/>
  <c r="C125" i="1"/>
  <c r="C128" i="1" s="1"/>
  <c r="I132" i="1" s="1"/>
  <c r="I134" i="1" s="1"/>
  <c r="C144" i="1" s="1"/>
  <c r="H134" i="1" l="1"/>
  <c r="C140" i="1" s="1"/>
  <c r="C148" i="1" s="1"/>
  <c r="C151" i="1" s="1"/>
  <c r="C154" i="1" s="1"/>
  <c r="C156" i="1" s="1"/>
  <c r="H168" i="1"/>
  <c r="D166" i="1"/>
  <c r="G168" i="1"/>
  <c r="C166" i="1"/>
  <c r="F168" i="1"/>
  <c r="H165" i="1"/>
  <c r="E168" i="1"/>
  <c r="G165" i="1"/>
  <c r="G166" i="1"/>
  <c r="D168" i="1"/>
  <c r="F165" i="1"/>
  <c r="C168" i="1"/>
  <c r="E165" i="1"/>
  <c r="H167" i="1"/>
  <c r="D165" i="1"/>
  <c r="G167" i="1"/>
  <c r="C165" i="1"/>
  <c r="H166" i="1"/>
  <c r="D164" i="1"/>
  <c r="F166" i="1"/>
  <c r="E166" i="1"/>
  <c r="F167" i="1"/>
  <c r="H164" i="1"/>
  <c r="E167" i="1"/>
  <c r="G164" i="1"/>
  <c r="D167" i="1"/>
  <c r="F164" i="1"/>
  <c r="C167" i="1"/>
  <c r="E164" i="1"/>
  <c r="C164" i="1"/>
  <c r="B163" i="1" l="1"/>
  <c r="C158" i="1"/>
</calcChain>
</file>

<file path=xl/sharedStrings.xml><?xml version="1.0" encoding="utf-8"?>
<sst xmlns="http://schemas.openxmlformats.org/spreadsheetml/2006/main" count="299" uniqueCount="228">
  <si>
    <t>DCF Model For Asian Paints</t>
  </si>
  <si>
    <t>Financial Modelling</t>
  </si>
  <si>
    <t>Company OverView</t>
  </si>
  <si>
    <t>Asian Paints Limited is India's leading paints and home décor company,</t>
  </si>
  <si>
    <t>offering decorative paints, industrial coatings, waterproofing solutions,</t>
  </si>
  <si>
    <t>and home improvement products &amp; services.</t>
  </si>
  <si>
    <t>• Decorative Paints – India's market leader.</t>
  </si>
  <si>
    <t>• Industrial Coatings – Automotive &amp; protective coatings.</t>
  </si>
  <si>
    <t>• Home Décor – Kitchens, bath fittings, lighting, furniture &amp; furnishings.</t>
  </si>
  <si>
    <t>• Waterproofing &amp; Construction Chemicals – Building protection solutions.</t>
  </si>
  <si>
    <t>Business Highlights:</t>
  </si>
  <si>
    <t>Founded: 1942 | India's Largest Decorative Paint Company |</t>
  </si>
  <si>
    <t>15+ International Markets | 74 Beautiful Homes Stores |</t>
  </si>
  <si>
    <t>80+ Years of Industry Leadership</t>
  </si>
  <si>
    <t>Key assumption and Methodology</t>
  </si>
  <si>
    <t>Parameter</t>
  </si>
  <si>
    <t>Value</t>
  </si>
  <si>
    <t>Rationale</t>
  </si>
  <si>
    <t>Valuation Date</t>
  </si>
  <si>
    <t>Projection Period</t>
  </si>
  <si>
    <t>Revenue Growth %</t>
  </si>
  <si>
    <t>Based on management guidance</t>
  </si>
  <si>
    <t>Annual Growth Tapering</t>
  </si>
  <si>
    <t>Terminal Growth Rate</t>
  </si>
  <si>
    <t>Conservative long-term growth in line with India's nominal GDP growth and mature decorative-paints industry potential</t>
  </si>
  <si>
    <t>Risk-Free Rate(Rf)</t>
  </si>
  <si>
    <t>10-year Indian Government Bond yield (approx. July 2026)</t>
  </si>
  <si>
    <t>Equity Risk Premium(ERP)</t>
  </si>
  <si>
    <t>Expected return over risk-free rate for equity investors</t>
  </si>
  <si>
    <t>Tax Rate</t>
  </si>
  <si>
    <t>Financial Performance (₹ Crores)</t>
  </si>
  <si>
    <t>INCOME STATEMENT</t>
  </si>
  <si>
    <t>Particulars</t>
  </si>
  <si>
    <t>Sales</t>
  </si>
  <si>
    <t>% growth</t>
  </si>
  <si>
    <t>Cost of Goods Sold</t>
  </si>
  <si>
    <t>% of revenue</t>
  </si>
  <si>
    <t>Gross Profit</t>
  </si>
  <si>
    <t>% Margin</t>
  </si>
  <si>
    <t>Operating Expenses</t>
  </si>
  <si>
    <t>EBITDA</t>
  </si>
  <si>
    <t>Depreciation</t>
  </si>
  <si>
    <t>% of Sales</t>
  </si>
  <si>
    <t>EBIT</t>
  </si>
  <si>
    <t>Other Income</t>
  </si>
  <si>
    <t>Interest</t>
  </si>
  <si>
    <t>% of debt</t>
  </si>
  <si>
    <t>Profit before tax</t>
  </si>
  <si>
    <t>Tax</t>
  </si>
  <si>
    <t>% of PBT</t>
  </si>
  <si>
    <t>Net profit</t>
  </si>
  <si>
    <t>BALANCE SHEET</t>
  </si>
  <si>
    <t>Equity Share Capital</t>
  </si>
  <si>
    <t>Reserve</t>
  </si>
  <si>
    <t>Borrowings</t>
  </si>
  <si>
    <t>Other Liabilities</t>
  </si>
  <si>
    <t>Total</t>
  </si>
  <si>
    <t>Net Block</t>
  </si>
  <si>
    <t>Capital Work in Progress</t>
  </si>
  <si>
    <t>Investments</t>
  </si>
  <si>
    <t>Receivables</t>
  </si>
  <si>
    <t>Inventory</t>
  </si>
  <si>
    <t>Cash &amp; Bank</t>
  </si>
  <si>
    <t>Other Assets</t>
  </si>
  <si>
    <t>Revenue Projections &amp; Growth Assumptions</t>
  </si>
  <si>
    <t>Year</t>
  </si>
  <si>
    <t>FY27E</t>
  </si>
  <si>
    <t>FY28E</t>
  </si>
  <si>
    <t>FY29E</t>
  </si>
  <si>
    <t>FY30E</t>
  </si>
  <si>
    <t>FY31E</t>
  </si>
  <si>
    <t>FY32E</t>
  </si>
  <si>
    <t>Revenue (in Crs)</t>
  </si>
  <si>
    <t>Chosen Scenerio</t>
  </si>
  <si>
    <t>Best case</t>
  </si>
  <si>
    <t>Base case</t>
  </si>
  <si>
    <t>Worst Case</t>
  </si>
  <si>
    <t>Free Cash Flow Projections (₹ Crores)</t>
  </si>
  <si>
    <t>Revenue</t>
  </si>
  <si>
    <t>EBITDA Margin %</t>
  </si>
  <si>
    <t>Less: Depreciation</t>
  </si>
  <si>
    <t>Less: Tax</t>
  </si>
  <si>
    <t>NOPAT</t>
  </si>
  <si>
    <t>Add : Depreciation</t>
  </si>
  <si>
    <t>Less : Reinvestment</t>
  </si>
  <si>
    <t>Free Cash Flow to Firm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</si>
  <si>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</si>
  <si>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</si>
  <si>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</si>
  <si>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</si>
  <si>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</si>
  <si>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</si>
  <si>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</si>
  <si>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Debt/Equity</t>
  </si>
  <si>
    <t>Cost of Debt</t>
  </si>
  <si>
    <t>Pre - Tax Cost of Debt</t>
  </si>
  <si>
    <t>After - Tax Cost of Debt</t>
  </si>
  <si>
    <t>Cost of Equity</t>
  </si>
  <si>
    <t>Risk Free Rate</t>
  </si>
  <si>
    <t>Equity Risk Premium</t>
  </si>
  <si>
    <t>Levered Equity Beta</t>
  </si>
  <si>
    <t>WACC</t>
  </si>
  <si>
    <t>Terminal Value Calculation</t>
  </si>
  <si>
    <t>Terminal Year FCF (FY32)</t>
  </si>
  <si>
    <t>Terminal Growth Rate (g)</t>
  </si>
  <si>
    <t>Terminal value = FCF * (1+g)/(WACC - g)</t>
  </si>
  <si>
    <t>Terminal Value</t>
  </si>
  <si>
    <t>Present Value Calculation</t>
  </si>
  <si>
    <t>FCF (₹ Cr)</t>
  </si>
  <si>
    <t>Discount Factor</t>
  </si>
  <si>
    <t>PV of FCF (₹ Cr)</t>
  </si>
  <si>
    <t>DCF Valuation Summary</t>
  </si>
  <si>
    <t>Sum of PV of FCF (FY27-32)</t>
  </si>
  <si>
    <t>PV of Terminal Value</t>
  </si>
  <si>
    <t>Enterprise Value</t>
  </si>
  <si>
    <t>Less : Net Debt</t>
  </si>
  <si>
    <t>Add : Cash &amp; Investment</t>
  </si>
  <si>
    <t>Equity Value</t>
  </si>
  <si>
    <t>Shares Outstanding</t>
  </si>
  <si>
    <t>Fair Value Per Share</t>
  </si>
  <si>
    <t>Current Market Price</t>
  </si>
  <si>
    <t>Upside/Downside</t>
  </si>
  <si>
    <t>Sensitivity Analysis</t>
  </si>
  <si>
    <t>Terminal Growth/ WACC</t>
  </si>
  <si>
    <t>Key Risks &amp; Considerations</t>
  </si>
  <si>
    <t>Upside Risk :</t>
  </si>
  <si>
    <t>Premiumisation : Faster mix-shift to premium emulsions and waterproofing could lift blended margins</t>
  </si>
  <si>
    <t>Market Share Recovery : Regaining decorative paints share lost to new, well-funded entrants</t>
  </si>
  <si>
    <t>Home Décor Scale-up : Beautiful Homes and kitchens/bath businesses reaching profitability faster than planned</t>
  </si>
  <si>
    <t>International Growth : Faster ramp-up in the 15+ international markets and new capacity (e.g. UAE white cement)</t>
  </si>
  <si>
    <t>Downside Risks :</t>
  </si>
  <si>
    <t>Intensifying Competition : Aggressive pricing and distribution investment from Birla Opus, JSW Paints and other new entrants</t>
  </si>
  <si>
    <t>Raw Material Volatility : Crude-linked input costs (titanium dioxide, solvents) pressuring gross margins</t>
  </si>
  <si>
    <t>Demand Slowdown : Weak urban discretionary spending and a soft real-estate/repaint cycle</t>
  </si>
  <si>
    <t>Margin Compression : Continued price cuts to defend volume share could structurally lower EBITDA margins</t>
  </si>
  <si>
    <t>Execution Risk : Losses in adjacent Home Décor / Beautiful Homes businesses persisting longer than expected</t>
  </si>
  <si>
    <t>Conclusion &amp; Recommendation</t>
  </si>
  <si>
    <t>Based on our DCF Analysis, Asian Paints Ltd.'s intrinsic value is estimated at Rs. 897.24 per Share, compared to the market price of Rs. 2,670 per share,</t>
  </si>
  <si>
    <t>suggesting that the stock is trading at a significant premium of ~198% to its fair value (~66% downside to fair value).</t>
  </si>
  <si>
    <t>Key findings:</t>
  </si>
  <si>
    <t>Revenue growth has moderated to a CAGR of ~10.4% over FY21-26, slower than several listed paint peers.</t>
  </si>
  <si>
    <t>EBITDA margins have compressed from ~22.4% to ~18.8% over the same period as competitive intensity has risen.</t>
  </si>
  <si>
    <t>Current valuation appears stretched at ~46x trailing earnings and ~39x EV/EBITDA, near the top of the peer range.</t>
  </si>
  <si>
    <t>Investment Recommendation : REDUCE</t>
  </si>
  <si>
    <t>While Asian Paints remains India's largest paint franchise with unmatched distribution and brand equity, intensifying competition from well-funded new entrants (e.g. Birla Opus, JSW Paints) is pressuring volumes and margins. The current price leaves little margin of safety versus DCF fair value. Investors may consider:</t>
  </si>
  <si>
    <t xml:space="preserve">   ~ Existing shareholders may hold with trailing stop losses.</t>
  </si>
  <si>
    <t xml:space="preserve">   ~ New investors should wait for a better entry point / valuation correction.</t>
  </si>
  <si>
    <t xml:space="preserve">   ~ Consider a phased approach (SIP-style accumulation) rather than a lump-sum entry.</t>
  </si>
  <si>
    <t>COMPARABLE COMPANY ANALYSIS</t>
  </si>
  <si>
    <t>COMPS Data</t>
  </si>
  <si>
    <t>Company</t>
  </si>
  <si>
    <t>Ticker</t>
  </si>
  <si>
    <t>Price</t>
  </si>
  <si>
    <t>Net Income</t>
  </si>
  <si>
    <t>Beta</t>
  </si>
  <si>
    <t>Cash &amp; Cash Equivalents</t>
  </si>
  <si>
    <t>EV/EBITDA</t>
  </si>
  <si>
    <t>P/E</t>
  </si>
  <si>
    <t>Asian Paints</t>
  </si>
  <si>
    <t>ASIANPAINT</t>
  </si>
  <si>
    <t>Berger Paints</t>
  </si>
  <si>
    <t>BERGEPAINT</t>
  </si>
  <si>
    <t>Kansai Nerolac</t>
  </si>
  <si>
    <t>KANSAINER</t>
  </si>
  <si>
    <t>Indigo Paints</t>
  </si>
  <si>
    <t>INDIGOPNTS</t>
  </si>
  <si>
    <t>Akzo Nobel India</t>
  </si>
  <si>
    <t>AKZOINDIA</t>
  </si>
  <si>
    <t>Industry Beta</t>
  </si>
  <si>
    <t>Company Name</t>
  </si>
  <si>
    <t>Debt/Capital</t>
  </si>
  <si>
    <t>Tax Rate %</t>
  </si>
  <si>
    <t>Levered Beta</t>
  </si>
  <si>
    <t>Unlevered Beta</t>
  </si>
  <si>
    <t>Average</t>
  </si>
  <si>
    <t>Median</t>
  </si>
  <si>
    <t>Comparable Companies Analysis</t>
  </si>
  <si>
    <t>Market Data</t>
  </si>
  <si>
    <t>Financial Data</t>
  </si>
  <si>
    <t>Valuation</t>
  </si>
  <si>
    <t>Price (₹/Share)</t>
  </si>
  <si>
    <t>Shares Outstanding (Cr)</t>
  </si>
  <si>
    <t>Market Cap (₹ Cr)</t>
  </si>
  <si>
    <t>Debt (₹ Cr)</t>
  </si>
  <si>
    <t>Cash &amp; Cash Equivalents (₹ Cr)</t>
  </si>
  <si>
    <t>EV (₹ Cr)</t>
  </si>
  <si>
    <t>Sales (₹ Cr)</t>
  </si>
  <si>
    <t>EBITDA (₹ Cr)</t>
  </si>
  <si>
    <t>Net Income (₹ Cr)</t>
  </si>
  <si>
    <t>EV/Sales (x)</t>
  </si>
  <si>
    <t>EV/EBITDA (x)</t>
  </si>
  <si>
    <t>P/E (x)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</si>
  <si>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</si>
  <si>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</si>
  <si>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</si>
  <si>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</si>
  <si>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</si>
  <si>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</si>
  <si>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</si>
  <si>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</si>
  <si>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</si>
  <si>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</si>
  <si>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</si>
  <si>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</si>
  <si>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</si>
  <si>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</si>
  <si>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</si>
  <si>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</si>
  <si>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</si>
  <si>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</si>
  <si>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</si>
  <si>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</si>
  <si>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</si>
  <si>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Expenses</t>
  </si>
  <si>
    <t>Operating Profit</t>
  </si>
  <si>
    <t>Reserves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</si>
  <si>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</si>
  <si>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</si>
  <si>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</si>
  <si>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</si>
  <si>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</si>
  <si>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</si>
  <si>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</si>
  <si>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</si>
  <si>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</si>
  <si>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</si>
  <si>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</si>
  <si>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• Beautiful Homes – Painting and interior decor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</si>
</sst>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0\A"/>
    <numFmt numFmtId="166" formatCode="_ * #,##0.00_ ;_ * \-#,##0.00_ ;_ * \-??_ ;_ @_ "/>
    <numFmt numFmtId="167" formatCode=";;;"/>
    <numFmt numFmtId="168" formatCode="0.0"/>
    <numFmt numFmtId="169" formatCode="#,##0;\(#,##0\)"/>
    <numFmt numFmtId="170" formatCode="#,##0.00;\(#,##0.00\);\-"/>
    <numFmt numFmtId="171" formatCode="0.000000"/>
    <numFmt numFmtId="172" formatCode="#,##0;\(#,##0\);\-"/>
    <numFmt numFmtId="173" formatCode="0.00\x"/>
    <numFmt numFmtId="174" formatCode="[$-409]mmm\-yy;@"/>
    <numFmt numFmtId="175" formatCode="_(* #,##0.00_);_(* \(#,##0.00\);_(* \-??_);_(@_)"/>
  </numFmts>
  <fonts count="24" x14ac:knownFonts="1">
    <font>
      <sz val="11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6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0"/>
      <name val="Calibri"/>
      <family val="2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6"/>
      <color rgb="FFFFFFFF"/>
      <name val="Calibri"/>
      <family val="2"/>
      <charset val="1"/>
    </font>
    <font>
      <b/>
      <sz val="16"/>
      <color rgb="FF0070C0"/>
      <name val="Calibri"/>
      <family val="2"/>
      <charset val="1"/>
    </font>
    <font>
      <b/>
      <sz val="12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0070C0"/>
      <name val="Arial"/>
      <charset val="1"/>
    </font>
    <font>
      <sz val="11"/>
      <color rgb="FF008000"/>
      <name val="Arial"/>
      <charset val="1"/>
    </font>
    <font>
      <b/>
      <sz val="11"/>
      <color rgb="FF000000"/>
      <name val="Arial"/>
      <charset val="1"/>
    </font>
    <font>
      <sz val="18"/>
      <color rgb="FF548DD4"/>
      <name val="Arial"/>
      <charset val="1"/>
    </font>
    <font>
      <b/>
      <sz val="28"/>
      <color rgb="FF3B5BDB"/>
      <name val="Arial"/>
      <charset val="1"/>
    </font>
    <font>
      <sz val="16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275D8"/>
      </patternFill>
    </fill>
    <fill>
      <patternFill patternType="solid">
        <fgColor rgb="FF3B5BDB"/>
        <bgColor rgb="FF0275D8"/>
      </patternFill>
    </fill>
    <fill>
      <patternFill patternType="solid">
        <fgColor theme="2" tint="-0.249977111117893"/>
        <bgColor rgb="FFFFCC99"/>
      </patternFill>
    </fill>
    <fill>
      <patternFill patternType="solid">
        <fgColor rgb="FF92D050"/>
        <bgColor rgb="FFC4BD97"/>
      </patternFill>
    </fill>
    <fill>
      <patternFill patternType="solid">
        <fgColor theme="9"/>
        <bgColor rgb="FFFF8080"/>
      </patternFill>
    </fill>
    <fill>
      <patternFill patternType="solid">
        <fgColor rgb="FF0275D8"/>
        <bgColor rgb="FF007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9" fontId="0" fillId="0" borderId="0" xfId="0" applyNumberFormat="1"/>
    <xf numFmtId="164" fontId="6" fillId="0" borderId="0" xfId="0" applyNumberFormat="1" applyFont="1"/>
    <xf numFmtId="164" fontId="7" fillId="0" borderId="0" xfId="0" applyNumberFormat="1" applyFont="1"/>
    <xf numFmtId="0" fontId="10" fillId="4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/>
    <xf numFmtId="0" fontId="11" fillId="0" borderId="0" xfId="0" applyFont="1"/>
    <xf numFmtId="164" fontId="0" fillId="0" borderId="0" xfId="0" applyNumberFormat="1"/>
    <xf numFmtId="166" fontId="0" fillId="0" borderId="0" xfId="0" applyNumberFormat="1"/>
    <xf numFmtId="0" fontId="4" fillId="0" borderId="2" xfId="0" applyFont="1" applyBorder="1"/>
    <xf numFmtId="0" fontId="10" fillId="4" borderId="4" xfId="0" applyFont="1" applyFill="1" applyBorder="1" applyAlignment="1">
      <alignment horizontal="center" vertical="center"/>
    </xf>
    <xf numFmtId="1" fontId="0" fillId="0" borderId="0" xfId="0" applyNumberFormat="1"/>
    <xf numFmtId="0" fontId="0" fillId="5" borderId="0" xfId="0" applyFill="1"/>
    <xf numFmtId="167" fontId="0" fillId="0" borderId="0" xfId="0" applyNumberFormat="1"/>
    <xf numFmtId="10" fontId="0" fillId="0" borderId="0" xfId="0" applyNumberFormat="1"/>
    <xf numFmtId="0" fontId="12" fillId="3" borderId="0" xfId="0" applyFont="1" applyFill="1"/>
    <xf numFmtId="168" fontId="0" fillId="0" borderId="0" xfId="0" applyNumberFormat="1"/>
    <xf numFmtId="169" fontId="0" fillId="0" borderId="0" xfId="0" applyNumberFormat="1"/>
    <xf numFmtId="0" fontId="4" fillId="6" borderId="0" xfId="0" applyFont="1" applyFill="1"/>
    <xf numFmtId="1" fontId="0" fillId="6" borderId="0" xfId="0" applyNumberFormat="1" applyFill="1"/>
    <xf numFmtId="0" fontId="14" fillId="0" borderId="0" xfId="0" applyFont="1"/>
    <xf numFmtId="0" fontId="7" fillId="0" borderId="0" xfId="0" applyFont="1"/>
    <xf numFmtId="170" fontId="15" fillId="0" borderId="0" xfId="0" applyNumberFormat="1" applyFont="1"/>
    <xf numFmtId="2" fontId="7" fillId="0" borderId="0" xfId="0" applyNumberFormat="1" applyFont="1"/>
    <xf numFmtId="0" fontId="16" fillId="0" borderId="0" xfId="0" applyFont="1"/>
    <xf numFmtId="164" fontId="16" fillId="0" borderId="0" xfId="0" applyNumberFormat="1" applyFont="1"/>
    <xf numFmtId="170" fontId="7" fillId="0" borderId="0" xfId="0" applyNumberFormat="1" applyFont="1"/>
    <xf numFmtId="170" fontId="16" fillId="0" borderId="0" xfId="0" applyNumberFormat="1" applyFont="1"/>
    <xf numFmtId="171" fontId="7" fillId="0" borderId="0" xfId="0" applyNumberFormat="1" applyFont="1"/>
    <xf numFmtId="170" fontId="17" fillId="0" borderId="0" xfId="0" applyNumberFormat="1" applyFont="1"/>
    <xf numFmtId="0" fontId="20" fillId="3" borderId="0" xfId="0" applyFont="1" applyFill="1" applyAlignment="1">
      <alignment vertical="center" wrapText="1"/>
    </xf>
    <xf numFmtId="4" fontId="15" fillId="0" borderId="0" xfId="0" applyNumberFormat="1" applyFont="1"/>
    <xf numFmtId="172" fontId="15" fillId="0" borderId="0" xfId="0" applyNumberFormat="1" applyFont="1"/>
    <xf numFmtId="2" fontId="6" fillId="0" borderId="0" xfId="0" applyNumberFormat="1" applyFont="1"/>
    <xf numFmtId="173" fontId="7" fillId="0" borderId="0" xfId="0" applyNumberFormat="1" applyFont="1"/>
    <xf numFmtId="4" fontId="6" fillId="0" borderId="0" xfId="0" applyNumberFormat="1" applyFont="1"/>
    <xf numFmtId="172" fontId="6" fillId="0" borderId="0" xfId="0" applyNumberFormat="1" applyFont="1"/>
    <xf numFmtId="172" fontId="7" fillId="0" borderId="0" xfId="0" applyNumberFormat="1" applyFont="1"/>
    <xf numFmtId="2" fontId="16" fillId="0" borderId="0" xfId="0" applyNumberFormat="1" applyFont="1"/>
    <xf numFmtId="4" fontId="7" fillId="0" borderId="0" xfId="0" applyNumberFormat="1" applyFont="1"/>
    <xf numFmtId="173" fontId="16" fillId="0" borderId="0" xfId="0" applyNumberFormat="1" applyFont="1"/>
    <xf numFmtId="174" fontId="12" fillId="8" borderId="0" xfId="0" applyNumberFormat="1" applyFont="1" applyFill="1"/>
    <xf numFmtId="174" fontId="12" fillId="8" borderId="0" xfId="0" applyNumberFormat="1" applyFont="1" applyFill="1" applyAlignment="1">
      <alignment horizontal="center"/>
    </xf>
    <xf numFmtId="174" fontId="23" fillId="0" borderId="0" xfId="0" applyNumberFormat="1" applyFont="1"/>
    <xf numFmtId="175" fontId="0" fillId="0" borderId="0" xfId="0" applyNumberForma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13" fillId="4" borderId="0" xfId="0" applyFont="1" applyFill="1"/>
    <xf numFmtId="0" fontId="18" fillId="0" borderId="0" xfId="0" applyFont="1"/>
    <xf numFmtId="0" fontId="19" fillId="0" borderId="0" xfId="0" applyFont="1"/>
    <xf numFmtId="0" fontId="21" fillId="0" borderId="0" xfId="0" applyFont="1"/>
    <xf numFmtId="166" fontId="22" fillId="0" borderId="0" xfId="0" applyNumberFormat="1" applyFont="1" applyAlignment="1">
      <alignment horizontal="center"/>
    </xf>
    <xf numFmtId="166" fontId="12" fillId="7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75D8"/>
      <rgbColor rgb="FFC4BD97"/>
      <rgbColor rgb="FF808080"/>
      <rgbColor rgb="FF9999FF"/>
      <rgbColor rgb="FFC0504D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5BDB"/>
      <rgbColor rgb="FF33CCCC"/>
      <rgbColor rgb="FF92D050"/>
      <rgbColor rgb="FFFFCC00"/>
      <rgbColor rgb="FFF79646"/>
      <rgbColor rgb="FFFF6600"/>
      <rgbColor rgb="FF548DD4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5BDB"/>
  </sheetPr>
  <dimension ref="B1:L202"/>
  <sheetViews>
    <sheetView showGridLines="0" tabSelected="1" topLeftCell="A13" zoomScaleNormal="100" workbookViewId="0">
      <selection activeCell="D18" sqref="D18"/>
    </sheetView>
  </sheetViews>
  <sheetFormatPr defaultColWidth="8.6328125" defaultRowHeight="14.5" x14ac:dyDescent="0.35"/>
  <cols>
    <col min="1" max="1" width="2.54296875" customWidth="1"/>
    <col min="2" max="2" width="32" customWidth="1"/>
    <col min="3" max="3" width="18" customWidth="1"/>
    <col min="4" max="9" width="14" customWidth="1"/>
  </cols>
  <sheetData>
    <row r="1" spans="2:12" ht="36" customHeight="1" x14ac:dyDescent="0.8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</row>
    <row r="3" spans="2:12" ht="18" customHeight="1" x14ac:dyDescent="0.45">
      <c r="B3" s="1" t="s">
        <v>1</v>
      </c>
    </row>
    <row r="5" spans="2:12" ht="21" customHeight="1" x14ac:dyDescent="0.5">
      <c r="B5" s="51" t="s">
        <v>2</v>
      </c>
      <c r="C5" s="51"/>
      <c r="D5" s="51"/>
      <c r="E5" s="51"/>
      <c r="F5" s="51"/>
      <c r="G5" s="51"/>
      <c r="H5" s="51"/>
      <c r="I5" s="51"/>
      <c r="J5" s="51"/>
      <c r="K5" s="51"/>
      <c r="L5" s="51"/>
    </row>
    <row r="7" spans="2:12" ht="14.25" customHeight="1" x14ac:dyDescent="0.35">
      <c r="B7" s="2" t="s">
        <v>3</v>
      </c>
    </row>
    <row r="8" spans="2:12" ht="14.25" customHeight="1" x14ac:dyDescent="0.35">
      <c r="B8" t="s">
        <v>4</v>
      </c>
    </row>
    <row r="9" spans="2:12" ht="14.25" customHeight="1" x14ac:dyDescent="0.35">
      <c r="B9" t="s">
        <v>5</v>
      </c>
    </row>
    <row r="11" spans="2:12" ht="14.25" customHeight="1" x14ac:dyDescent="0.35">
      <c r="B11" t="s">
        <v>6</v>
      </c>
    </row>
    <row r="12" spans="2:12" ht="14.25" customHeight="1" x14ac:dyDescent="0.35">
      <c r="B12" t="s">
        <v>7</v>
      </c>
    </row>
    <row r="13" spans="2:12" ht="14.25" customHeight="1" x14ac:dyDescent="0.35">
      <c r="B13" t="s">
        <v>8</v>
      </c>
    </row>
    <row r="14" spans="2:12" ht="14.25" customHeight="1" x14ac:dyDescent="0.35">
      <c r="B14" t="s">
        <v>227</v>
      </c>
    </row>
    <row r="15" spans="2:12" ht="14.25" customHeight="1" x14ac:dyDescent="0.35">
      <c r="B15" t="s">
        <v>9</v>
      </c>
    </row>
    <row r="17" spans="2:12" ht="14.25" customHeight="1" x14ac:dyDescent="0.35">
      <c r="B17" t="s">
        <v>10</v>
      </c>
    </row>
    <row r="18" spans="2:12" ht="14.25" customHeight="1" x14ac:dyDescent="0.35">
      <c r="B18" t="s">
        <v>11</v>
      </c>
    </row>
    <row r="19" spans="2:12" ht="14.25" customHeight="1" x14ac:dyDescent="0.35">
      <c r="B19" t="s">
        <v>12</v>
      </c>
    </row>
    <row r="20" spans="2:12" ht="14.25" customHeight="1" x14ac:dyDescent="0.35">
      <c r="B20" t="s">
        <v>13</v>
      </c>
    </row>
    <row r="23" spans="2:12" ht="21" customHeight="1" x14ac:dyDescent="0.5">
      <c r="B23" s="3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6" spans="2:12" ht="21" customHeight="1" x14ac:dyDescent="0.5">
      <c r="B26" s="4" t="s">
        <v>15</v>
      </c>
      <c r="C26" s="4" t="s">
        <v>16</v>
      </c>
      <c r="D26" s="52" t="s">
        <v>17</v>
      </c>
      <c r="E26" s="52"/>
      <c r="F26" s="52"/>
      <c r="G26" s="52"/>
      <c r="H26" s="52"/>
    </row>
    <row r="27" spans="2:12" ht="14.25" customHeight="1" x14ac:dyDescent="0.35">
      <c r="B27" s="2" t="s">
        <v>18</v>
      </c>
    </row>
    <row r="28" spans="2:12" ht="14.25" customHeight="1" x14ac:dyDescent="0.35">
      <c r="B28" s="2" t="s">
        <v>19</v>
      </c>
    </row>
    <row r="29" spans="2:12" ht="14.25" customHeight="1" x14ac:dyDescent="0.35">
      <c r="B29" s="2" t="s">
        <v>20</v>
      </c>
      <c r="C29" s="5">
        <v>0.12</v>
      </c>
      <c r="D29" t="s">
        <v>21</v>
      </c>
    </row>
    <row r="30" spans="2:12" ht="14.25" customHeight="1" x14ac:dyDescent="0.35">
      <c r="B30" s="2" t="s">
        <v>22</v>
      </c>
      <c r="C30" s="5">
        <v>0.02</v>
      </c>
    </row>
    <row r="32" spans="2:12" ht="14.25" customHeight="1" x14ac:dyDescent="0.35">
      <c r="B32" s="2" t="s">
        <v>23</v>
      </c>
      <c r="C32" s="6">
        <v>0.05</v>
      </c>
      <c r="D32" t="s">
        <v>24</v>
      </c>
    </row>
    <row r="34" spans="2:8" ht="14.25" customHeight="1" x14ac:dyDescent="0.35">
      <c r="B34" s="2" t="s">
        <v>25</v>
      </c>
      <c r="C34" s="6">
        <v>6.8000000000000005E-2</v>
      </c>
      <c r="D34" t="s">
        <v>26</v>
      </c>
    </row>
    <row r="35" spans="2:8" ht="14.25" customHeight="1" x14ac:dyDescent="0.35">
      <c r="B35" s="2" t="s">
        <v>27</v>
      </c>
      <c r="C35" s="7">
        <f>12%-C34</f>
        <v>5.1999999999999991E-2</v>
      </c>
      <c r="D35" t="s">
        <v>28</v>
      </c>
    </row>
    <row r="36" spans="2:8" ht="14.25" customHeight="1" x14ac:dyDescent="0.35">
      <c r="B36" s="2" t="s">
        <v>29</v>
      </c>
      <c r="C36" s="5">
        <v>0.25</v>
      </c>
    </row>
    <row r="38" spans="2:8" ht="21" customHeight="1" x14ac:dyDescent="0.5">
      <c r="B38" s="53" t="s">
        <v>30</v>
      </c>
      <c r="C38" s="53"/>
      <c r="D38" s="53"/>
      <c r="E38" s="53"/>
      <c r="F38" s="53"/>
      <c r="G38" s="53"/>
      <c r="H38" s="53"/>
    </row>
    <row r="39" spans="2:8" ht="21" customHeight="1" x14ac:dyDescent="0.5">
      <c r="B39" s="54" t="s">
        <v>31</v>
      </c>
      <c r="C39" s="54"/>
      <c r="D39" s="54"/>
      <c r="E39" s="54"/>
      <c r="F39" s="54"/>
      <c r="G39" s="54"/>
      <c r="H39" s="54"/>
    </row>
    <row r="40" spans="2:8" ht="15" customHeight="1" x14ac:dyDescent="0.35">
      <c r="B40" s="8" t="s">
        <v>32</v>
      </c>
      <c r="C40" s="9">
        <v>2021</v>
      </c>
      <c r="D40" s="9">
        <f>C40+1</f>
        <v>2022</v>
      </c>
      <c r="E40" s="9">
        <f>D40+1</f>
        <v>2023</v>
      </c>
      <c r="F40" s="9">
        <f>E40+1</f>
        <v>2024</v>
      </c>
      <c r="G40" s="9">
        <f>F40+1</f>
        <v>2025</v>
      </c>
      <c r="H40" s="9">
        <f>G40+1</f>
        <v>2026</v>
      </c>
    </row>
    <row r="41" spans="2:8" ht="14.25" customHeight="1" x14ac:dyDescent="0.35">
      <c r="B41" s="2" t="s">
        <v>33</v>
      </c>
      <c r="C41" s="10">
        <f>'Data Sheet'!F17</f>
        <v>21712.79</v>
      </c>
      <c r="D41" s="10">
        <f>'Data Sheet'!G17</f>
        <v>29101.279999999999</v>
      </c>
      <c r="E41" s="10">
        <f>'Data Sheet'!H17</f>
        <v>34488.589999999997</v>
      </c>
      <c r="F41" s="10">
        <f>'Data Sheet'!I17</f>
        <v>35494.730000000003</v>
      </c>
      <c r="G41" s="10">
        <f>'Data Sheet'!J17</f>
        <v>33905.620000000003</v>
      </c>
      <c r="H41" s="10">
        <f>'Data Sheet'!K17</f>
        <v>35583.54</v>
      </c>
    </row>
    <row r="42" spans="2:8" ht="14.25" customHeight="1" x14ac:dyDescent="0.35">
      <c r="B42" s="11" t="s">
        <v>34</v>
      </c>
      <c r="D42" s="12">
        <f>D41/C41-1</f>
        <v>0.34028284711453471</v>
      </c>
      <c r="E42" s="12">
        <f>E41/D41-1</f>
        <v>0.18512278497715551</v>
      </c>
      <c r="F42" s="12">
        <f>F41/E41-1</f>
        <v>2.9173126532572313E-2</v>
      </c>
      <c r="G42" s="12">
        <f>G41/F41-1</f>
        <v>-4.4770308155605121E-2</v>
      </c>
      <c r="H42" s="12">
        <f>H41/G41-1</f>
        <v>4.9487960992897317E-2</v>
      </c>
    </row>
    <row r="43" spans="2:8" ht="14.25" customHeight="1" x14ac:dyDescent="0.35">
      <c r="B43" s="2" t="s">
        <v>35</v>
      </c>
      <c r="C43" s="2">
        <f>SUM('Data Sheet'!F18-'Data Sheet'!F19,'Data Sheet'!F20:F21)</f>
        <v>12487.459999999997</v>
      </c>
      <c r="D43" s="2">
        <f>SUM('Data Sheet'!G18-'Data Sheet'!G19,'Data Sheet'!G20:G21)</f>
        <v>18795.96</v>
      </c>
      <c r="E43" s="2">
        <f>SUM('Data Sheet'!H18-'Data Sheet'!H19,'Data Sheet'!H20:H21)</f>
        <v>21730.29</v>
      </c>
      <c r="F43" s="2">
        <f>SUM('Data Sheet'!I18-'Data Sheet'!I19,'Data Sheet'!I20:I21)</f>
        <v>20675.07</v>
      </c>
      <c r="G43" s="2">
        <f>SUM('Data Sheet'!J18-'Data Sheet'!J19,'Data Sheet'!J20:J21)</f>
        <v>20135.490000000002</v>
      </c>
      <c r="H43" s="2">
        <f>SUM('Data Sheet'!K18-'Data Sheet'!K19,'Data Sheet'!K20:K21)</f>
        <v>20679.899999999998</v>
      </c>
    </row>
    <row r="44" spans="2:8" ht="14.25" customHeight="1" x14ac:dyDescent="0.35">
      <c r="B44" s="11" t="s">
        <v>36</v>
      </c>
      <c r="C44" s="12">
        <f t="shared" ref="C44:H44" si="0">C43/C41</f>
        <v>0.57512000991120882</v>
      </c>
      <c r="D44" s="12">
        <f t="shared" si="0"/>
        <v>0.64588086847039028</v>
      </c>
      <c r="E44" s="12">
        <f t="shared" si="0"/>
        <v>0.63007185854800107</v>
      </c>
      <c r="F44" s="12">
        <f t="shared" si="0"/>
        <v>0.58248280801121743</v>
      </c>
      <c r="G44" s="12">
        <f t="shared" si="0"/>
        <v>0.59386880405077391</v>
      </c>
      <c r="H44" s="12">
        <f t="shared" si="0"/>
        <v>0.5811647744996703</v>
      </c>
    </row>
    <row r="45" spans="2:8" ht="14.25" customHeight="1" x14ac:dyDescent="0.35">
      <c r="B45" s="2" t="s">
        <v>37</v>
      </c>
      <c r="C45" s="2">
        <f t="shared" ref="C45:H45" si="1">C41-C43</f>
        <v>9225.3300000000036</v>
      </c>
      <c r="D45" s="2">
        <f t="shared" si="1"/>
        <v>10305.32</v>
      </c>
      <c r="E45" s="2">
        <f t="shared" si="1"/>
        <v>12758.299999999996</v>
      </c>
      <c r="F45" s="2">
        <f t="shared" si="1"/>
        <v>14819.660000000003</v>
      </c>
      <c r="G45" s="2">
        <f t="shared" si="1"/>
        <v>13770.130000000001</v>
      </c>
      <c r="H45" s="2">
        <f t="shared" si="1"/>
        <v>14903.640000000003</v>
      </c>
    </row>
    <row r="46" spans="2:8" ht="14.25" customHeight="1" x14ac:dyDescent="0.35">
      <c r="B46" s="11" t="s">
        <v>38</v>
      </c>
      <c r="C46" s="12">
        <f t="shared" ref="C46:H46" si="2">C45/C41</f>
        <v>0.42487999008879113</v>
      </c>
      <c r="D46" s="12">
        <f t="shared" si="2"/>
        <v>0.35411913152960972</v>
      </c>
      <c r="E46" s="12">
        <f t="shared" si="2"/>
        <v>0.36992814145199898</v>
      </c>
      <c r="F46" s="12">
        <f t="shared" si="2"/>
        <v>0.41751719198878262</v>
      </c>
      <c r="G46" s="12">
        <f t="shared" si="2"/>
        <v>0.40613119594922614</v>
      </c>
      <c r="H46" s="12">
        <f t="shared" si="2"/>
        <v>0.4188352255003297</v>
      </c>
    </row>
    <row r="47" spans="2:8" ht="14.25" customHeight="1" x14ac:dyDescent="0.35">
      <c r="B47" s="2" t="s">
        <v>39</v>
      </c>
      <c r="C47" s="2">
        <f>SUM('Data Sheet'!F22:F24)</f>
        <v>4369.7300000000005</v>
      </c>
      <c r="D47" s="2">
        <f>SUM('Data Sheet'!G22:G24)</f>
        <v>5501.71</v>
      </c>
      <c r="E47" s="2">
        <f>SUM('Data Sheet'!H22:H24)</f>
        <v>6498.46</v>
      </c>
      <c r="F47" s="2">
        <f>SUM('Data Sheet'!I22:I24)</f>
        <v>7234.68</v>
      </c>
      <c r="G47" s="2">
        <f>SUM('Data Sheet'!J22:J24)</f>
        <v>7763.92</v>
      </c>
      <c r="H47" s="2">
        <f>SUM('Data Sheet'!K22:K24)</f>
        <v>8203.91</v>
      </c>
    </row>
    <row r="48" spans="2:8" ht="14.25" customHeight="1" x14ac:dyDescent="0.35">
      <c r="B48" s="11" t="s">
        <v>36</v>
      </c>
      <c r="C48" s="12">
        <f t="shared" ref="C48:H48" si="3">C47/C41</f>
        <v>0.20125142830562079</v>
      </c>
      <c r="D48" s="12">
        <f t="shared" si="3"/>
        <v>0.1890538835405178</v>
      </c>
      <c r="E48" s="12">
        <f t="shared" si="3"/>
        <v>0.18842347570602339</v>
      </c>
      <c r="F48" s="12">
        <f t="shared" si="3"/>
        <v>0.20382406064224182</v>
      </c>
      <c r="G48" s="12">
        <f t="shared" si="3"/>
        <v>0.22898622706206226</v>
      </c>
      <c r="H48" s="12">
        <f t="shared" si="3"/>
        <v>0.23055350872903593</v>
      </c>
    </row>
    <row r="49" spans="2:8" ht="14.25" customHeight="1" x14ac:dyDescent="0.35">
      <c r="B49" s="2" t="s">
        <v>40</v>
      </c>
      <c r="C49" s="2">
        <f t="shared" ref="C49:H49" si="4">C45-C47</f>
        <v>4855.6000000000031</v>
      </c>
      <c r="D49" s="2">
        <f t="shared" si="4"/>
        <v>4803.6099999999997</v>
      </c>
      <c r="E49" s="2">
        <f t="shared" si="4"/>
        <v>6259.8399999999956</v>
      </c>
      <c r="F49" s="2">
        <f t="shared" si="4"/>
        <v>7584.9800000000032</v>
      </c>
      <c r="G49" s="2">
        <f t="shared" si="4"/>
        <v>6006.2100000000009</v>
      </c>
      <c r="H49" s="2">
        <f t="shared" si="4"/>
        <v>6699.7300000000032</v>
      </c>
    </row>
    <row r="50" spans="2:8" ht="14.25" customHeight="1" x14ac:dyDescent="0.35">
      <c r="B50" s="11" t="s">
        <v>38</v>
      </c>
      <c r="C50" s="12">
        <f t="shared" ref="C50:H50" si="5">C49/C41</f>
        <v>0.22362856178317034</v>
      </c>
      <c r="D50" s="12">
        <f t="shared" si="5"/>
        <v>0.16506524798909189</v>
      </c>
      <c r="E50" s="12">
        <f t="shared" si="5"/>
        <v>0.1815046657459756</v>
      </c>
      <c r="F50" s="12">
        <f t="shared" si="5"/>
        <v>0.2136931313465408</v>
      </c>
      <c r="G50" s="12">
        <f t="shared" si="5"/>
        <v>0.17714496888716386</v>
      </c>
      <c r="H50" s="12">
        <f t="shared" si="5"/>
        <v>0.18828171677129377</v>
      </c>
    </row>
    <row r="51" spans="2:8" ht="14.25" customHeight="1" x14ac:dyDescent="0.35">
      <c r="B51" s="2" t="s">
        <v>41</v>
      </c>
      <c r="C51" s="10">
        <f>'Data Sheet'!F26</f>
        <v>791.27</v>
      </c>
      <c r="D51" s="10">
        <f>'Data Sheet'!G26</f>
        <v>816.36</v>
      </c>
      <c r="E51" s="10">
        <f>'Data Sheet'!H26</f>
        <v>858.02</v>
      </c>
      <c r="F51" s="10">
        <f>'Data Sheet'!I26</f>
        <v>853</v>
      </c>
      <c r="G51" s="10">
        <f>'Data Sheet'!J26</f>
        <v>1026.3399999999999</v>
      </c>
      <c r="H51" s="10">
        <f>'Data Sheet'!K26</f>
        <v>1228.8499999999999</v>
      </c>
    </row>
    <row r="52" spans="2:8" ht="14.25" customHeight="1" x14ac:dyDescent="0.35">
      <c r="B52" s="11" t="s">
        <v>42</v>
      </c>
      <c r="C52" s="12">
        <f t="shared" ref="C52:H52" si="6">C51/C41</f>
        <v>3.6442576011650275E-2</v>
      </c>
      <c r="D52" s="12">
        <f t="shared" si="6"/>
        <v>2.8052374328551871E-2</v>
      </c>
      <c r="E52" s="12">
        <f t="shared" si="6"/>
        <v>2.4878372818372688E-2</v>
      </c>
      <c r="F52" s="12">
        <f t="shared" si="6"/>
        <v>2.4031736542297968E-2</v>
      </c>
      <c r="G52" s="12">
        <f t="shared" si="6"/>
        <v>3.0270497929251843E-2</v>
      </c>
      <c r="H52" s="12">
        <f t="shared" si="6"/>
        <v>3.4534225656019608E-2</v>
      </c>
    </row>
    <row r="53" spans="2:8" ht="14.25" customHeight="1" x14ac:dyDescent="0.35">
      <c r="B53" s="2" t="s">
        <v>43</v>
      </c>
      <c r="C53" s="2">
        <f t="shared" ref="C53:H53" si="7">C49-C51</f>
        <v>4064.3300000000031</v>
      </c>
      <c r="D53" s="2">
        <f t="shared" si="7"/>
        <v>3987.2499999999995</v>
      </c>
      <c r="E53" s="2">
        <f t="shared" si="7"/>
        <v>5401.8199999999961</v>
      </c>
      <c r="F53" s="2">
        <f t="shared" si="7"/>
        <v>6731.9800000000032</v>
      </c>
      <c r="G53" s="2">
        <f t="shared" si="7"/>
        <v>4979.8700000000008</v>
      </c>
      <c r="H53" s="2">
        <f t="shared" si="7"/>
        <v>5470.8800000000028</v>
      </c>
    </row>
    <row r="54" spans="2:8" ht="14.25" customHeight="1" x14ac:dyDescent="0.35">
      <c r="B54" s="11" t="s">
        <v>38</v>
      </c>
      <c r="C54" s="12">
        <f t="shared" ref="C54:H54" si="8">C53/C41</f>
        <v>0.18718598577152007</v>
      </c>
      <c r="D54" s="12">
        <f t="shared" si="8"/>
        <v>0.13701287366054002</v>
      </c>
      <c r="E54" s="12">
        <f t="shared" si="8"/>
        <v>0.15662629292760291</v>
      </c>
      <c r="F54" s="12">
        <f t="shared" si="8"/>
        <v>0.18966139480424285</v>
      </c>
      <c r="G54" s="12">
        <f t="shared" si="8"/>
        <v>0.14687447095791201</v>
      </c>
      <c r="H54" s="12">
        <f t="shared" si="8"/>
        <v>0.15374749111527417</v>
      </c>
    </row>
    <row r="55" spans="2:8" ht="14.25" customHeight="1" x14ac:dyDescent="0.35">
      <c r="B55" s="2" t="s">
        <v>44</v>
      </c>
      <c r="C55" s="13">
        <f>'Data Sheet'!F25</f>
        <v>331.65</v>
      </c>
      <c r="D55" s="13">
        <f>'Data Sheet'!G25</f>
        <v>295.88</v>
      </c>
      <c r="E55" s="13">
        <f>'Data Sheet'!H25</f>
        <v>431.46</v>
      </c>
      <c r="F55" s="13">
        <f>'Data Sheet'!I25</f>
        <v>820.96</v>
      </c>
      <c r="G55" s="13">
        <f>'Data Sheet'!J25</f>
        <v>350.22</v>
      </c>
      <c r="H55" s="13">
        <f>'Data Sheet'!K25</f>
        <v>727.97</v>
      </c>
    </row>
    <row r="56" spans="2:8" ht="14.25" customHeight="1" x14ac:dyDescent="0.35">
      <c r="B56" s="2" t="s">
        <v>45</v>
      </c>
      <c r="C56" s="13">
        <f>'Data Sheet'!F27</f>
        <v>91.63</v>
      </c>
      <c r="D56" s="13">
        <f>'Data Sheet'!G27</f>
        <v>95.41</v>
      </c>
      <c r="E56" s="13">
        <f>'Data Sheet'!H27</f>
        <v>144.44999999999999</v>
      </c>
      <c r="F56" s="13">
        <f>'Data Sheet'!I27</f>
        <v>205.17</v>
      </c>
      <c r="G56" s="13">
        <f>'Data Sheet'!J27</f>
        <v>227.02</v>
      </c>
      <c r="H56" s="13">
        <f>'Data Sheet'!K27</f>
        <v>195.41</v>
      </c>
    </row>
    <row r="57" spans="2:8" ht="14.25" customHeight="1" x14ac:dyDescent="0.35">
      <c r="B57" s="11" t="s">
        <v>46</v>
      </c>
      <c r="C57" s="12">
        <f>C56/'Data Sheet'!F59</f>
        <v>8.3824282786885251E-2</v>
      </c>
      <c r="D57" s="12">
        <f>D56/'Data Sheet'!G59</f>
        <v>6.0124269005847948E-2</v>
      </c>
      <c r="E57" s="12">
        <f>E56/'Data Sheet'!H59</f>
        <v>7.474309486603678E-2</v>
      </c>
      <c r="F57" s="12">
        <f>F56/'Data Sheet'!I59</f>
        <v>8.2917741009869136E-2</v>
      </c>
      <c r="G57" s="12">
        <f>G56/'Data Sheet'!J59</f>
        <v>9.9122818507699897E-2</v>
      </c>
      <c r="H57" s="12">
        <f>H56/'Data Sheet'!K59</f>
        <v>4.9736187715230355E-2</v>
      </c>
    </row>
    <row r="58" spans="2:8" ht="14.25" customHeight="1" x14ac:dyDescent="0.35">
      <c r="B58" s="2" t="s">
        <v>47</v>
      </c>
      <c r="C58" s="2">
        <f t="shared" ref="C58:H58" si="9">C53+C55-C56</f>
        <v>4304.3500000000031</v>
      </c>
      <c r="D58" s="2">
        <f t="shared" si="9"/>
        <v>4187.7199999999993</v>
      </c>
      <c r="E58" s="2">
        <f t="shared" si="9"/>
        <v>5688.8299999999963</v>
      </c>
      <c r="F58" s="2">
        <f t="shared" si="9"/>
        <v>7347.7700000000032</v>
      </c>
      <c r="G58" s="2">
        <f t="shared" si="9"/>
        <v>5103.0700000000006</v>
      </c>
      <c r="H58" s="2">
        <f t="shared" si="9"/>
        <v>6003.4400000000032</v>
      </c>
    </row>
    <row r="59" spans="2:8" ht="14.25" customHeight="1" x14ac:dyDescent="0.35">
      <c r="B59" s="11" t="s">
        <v>36</v>
      </c>
      <c r="C59" s="12">
        <f t="shared" ref="C59:H59" si="10">C58/C41</f>
        <v>0.19824029984170632</v>
      </c>
      <c r="D59" s="12">
        <f t="shared" si="10"/>
        <v>0.1439015740888373</v>
      </c>
      <c r="E59" s="12">
        <f t="shared" si="10"/>
        <v>0.16494817561402181</v>
      </c>
      <c r="F59" s="12">
        <f t="shared" si="10"/>
        <v>0.2070101674248544</v>
      </c>
      <c r="G59" s="12">
        <f t="shared" si="10"/>
        <v>0.1505080868599365</v>
      </c>
      <c r="H59" s="12">
        <f t="shared" si="10"/>
        <v>0.16871396156762378</v>
      </c>
    </row>
    <row r="60" spans="2:8" ht="14.25" customHeight="1" x14ac:dyDescent="0.35">
      <c r="B60" s="2" t="s">
        <v>48</v>
      </c>
      <c r="C60" s="13">
        <f>'Data Sheet'!F48</f>
        <v>389.73</v>
      </c>
      <c r="D60" s="13">
        <f>'Data Sheet'!G48</f>
        <v>321.42</v>
      </c>
      <c r="E60" s="13">
        <f>'Data Sheet'!H48</f>
        <v>391.66</v>
      </c>
      <c r="F60" s="13">
        <f>'Data Sheet'!I48</f>
        <v>373.29</v>
      </c>
      <c r="G60" s="13">
        <f>'Data Sheet'!J48</f>
        <v>415.17</v>
      </c>
      <c r="H60" s="13">
        <f>'Data Sheet'!K48</f>
        <v>428.63</v>
      </c>
    </row>
    <row r="61" spans="2:8" ht="14.25" customHeight="1" x14ac:dyDescent="0.35">
      <c r="B61" s="11" t="s">
        <v>49</v>
      </c>
      <c r="C61" s="12">
        <f t="shared" ref="C61:H61" si="11">C60/C58</f>
        <v>9.0543287604400141E-2</v>
      </c>
      <c r="D61" s="12">
        <f t="shared" si="11"/>
        <v>7.6752982529873073E-2</v>
      </c>
      <c r="E61" s="12">
        <f t="shared" si="11"/>
        <v>6.8847197051063277E-2</v>
      </c>
      <c r="F61" s="12">
        <f t="shared" si="11"/>
        <v>5.0803168852590633E-2</v>
      </c>
      <c r="G61" s="12">
        <f t="shared" si="11"/>
        <v>8.1356908684380183E-2</v>
      </c>
      <c r="H61" s="12">
        <f t="shared" si="11"/>
        <v>7.1397398824673816E-2</v>
      </c>
    </row>
    <row r="62" spans="2:8" ht="14.25" customHeight="1" x14ac:dyDescent="0.35">
      <c r="B62" s="2" t="s">
        <v>50</v>
      </c>
      <c r="C62" s="2">
        <f t="shared" ref="C62:H62" si="12">C58-C60</f>
        <v>3914.6200000000031</v>
      </c>
      <c r="D62" s="2">
        <f t="shared" si="12"/>
        <v>3866.2999999999993</v>
      </c>
      <c r="E62" s="2">
        <f t="shared" si="12"/>
        <v>5297.1699999999964</v>
      </c>
      <c r="F62" s="2">
        <f t="shared" si="12"/>
        <v>6974.4800000000032</v>
      </c>
      <c r="G62" s="2">
        <f t="shared" si="12"/>
        <v>4687.9000000000005</v>
      </c>
      <c r="H62" s="2">
        <f t="shared" si="12"/>
        <v>5574.8100000000031</v>
      </c>
    </row>
    <row r="63" spans="2:8" ht="14.25" customHeight="1" x14ac:dyDescent="0.35">
      <c r="B63" t="s">
        <v>36</v>
      </c>
      <c r="C63" s="12">
        <f t="shared" ref="C63:H63" si="13">C62/C41</f>
        <v>0.1802909713583562</v>
      </c>
      <c r="D63" s="12">
        <f t="shared" si="13"/>
        <v>0.13285669908677555</v>
      </c>
      <c r="E63" s="12">
        <f t="shared" si="13"/>
        <v>0.15359195606430986</v>
      </c>
      <c r="F63" s="12">
        <f t="shared" si="13"/>
        <v>0.19649339493496648</v>
      </c>
      <c r="G63" s="12">
        <f t="shared" si="13"/>
        <v>0.1382632141810119</v>
      </c>
      <c r="H63" s="12">
        <f t="shared" si="13"/>
        <v>0.15666822356628946</v>
      </c>
    </row>
    <row r="65" spans="2:8" ht="21" customHeight="1" x14ac:dyDescent="0.5">
      <c r="B65" s="54" t="s">
        <v>51</v>
      </c>
      <c r="C65" s="54"/>
      <c r="D65" s="54"/>
      <c r="E65" s="54"/>
      <c r="F65" s="54"/>
      <c r="G65" s="54"/>
      <c r="H65" s="54"/>
    </row>
    <row r="66" spans="2:8" ht="15" customHeight="1" x14ac:dyDescent="0.35">
      <c r="B66" s="8" t="s">
        <v>32</v>
      </c>
      <c r="C66" s="9">
        <v>2021</v>
      </c>
      <c r="D66" s="9">
        <f>C66+1</f>
        <v>2022</v>
      </c>
      <c r="E66" s="9">
        <f>D66+1</f>
        <v>2023</v>
      </c>
      <c r="F66" s="9">
        <f>E66+1</f>
        <v>2024</v>
      </c>
      <c r="G66" s="9">
        <f>F66+1</f>
        <v>2025</v>
      </c>
      <c r="H66" s="9">
        <f>G66+1</f>
        <v>2026</v>
      </c>
    </row>
    <row r="67" spans="2:8" ht="14.25" customHeight="1" x14ac:dyDescent="0.35">
      <c r="B67" t="s">
        <v>52</v>
      </c>
      <c r="C67" s="13">
        <f>'Data Sheet'!F57</f>
        <v>95.92</v>
      </c>
      <c r="D67" s="13">
        <f>'Data Sheet'!G57</f>
        <v>95.92</v>
      </c>
      <c r="E67" s="13">
        <f>'Data Sheet'!H57</f>
        <v>95.92</v>
      </c>
      <c r="F67" s="13">
        <f>'Data Sheet'!I57</f>
        <v>95.92</v>
      </c>
      <c r="G67" s="13">
        <f>'Data Sheet'!J57</f>
        <v>95.92</v>
      </c>
      <c r="H67" s="13">
        <f>'Data Sheet'!K57</f>
        <v>95.92</v>
      </c>
    </row>
    <row r="68" spans="2:8" ht="14.25" customHeight="1" x14ac:dyDescent="0.35">
      <c r="B68" t="s">
        <v>53</v>
      </c>
      <c r="C68" s="13">
        <f>'Data Sheet'!F58</f>
        <v>12710.37</v>
      </c>
      <c r="D68" s="13">
        <f>'Data Sheet'!G58</f>
        <v>13715.64</v>
      </c>
      <c r="E68" s="13">
        <f>'Data Sheet'!H58</f>
        <v>15896.31</v>
      </c>
      <c r="F68" s="13">
        <f>'Data Sheet'!I58</f>
        <v>18632.38</v>
      </c>
      <c r="G68" s="13">
        <f>'Data Sheet'!J58</f>
        <v>19303.89</v>
      </c>
      <c r="H68" s="13">
        <f>'Data Sheet'!K58</f>
        <v>21275.67</v>
      </c>
    </row>
    <row r="69" spans="2:8" ht="14.25" customHeight="1" x14ac:dyDescent="0.35">
      <c r="B69" t="s">
        <v>54</v>
      </c>
      <c r="C69" s="13">
        <f>'Data Sheet'!F59</f>
        <v>1093.1199999999999</v>
      </c>
      <c r="D69" s="13">
        <f>'Data Sheet'!G59</f>
        <v>1586.88</v>
      </c>
      <c r="E69" s="13">
        <f>'Data Sheet'!H59</f>
        <v>1932.62</v>
      </c>
      <c r="F69" s="13">
        <f>'Data Sheet'!I59</f>
        <v>2474.38</v>
      </c>
      <c r="G69" s="13">
        <f>'Data Sheet'!J59</f>
        <v>2290.29</v>
      </c>
      <c r="H69" s="13">
        <f>'Data Sheet'!K59</f>
        <v>3928.93</v>
      </c>
    </row>
    <row r="70" spans="2:8" ht="14.25" customHeight="1" x14ac:dyDescent="0.35">
      <c r="B70" t="s">
        <v>55</v>
      </c>
      <c r="C70" s="13">
        <f>'Data Sheet'!F60</f>
        <v>6455.93</v>
      </c>
      <c r="D70" s="13">
        <f>'Data Sheet'!G60</f>
        <v>7559.99</v>
      </c>
      <c r="E70" s="13">
        <f>'Data Sheet'!H60</f>
        <v>7854.48</v>
      </c>
      <c r="F70" s="13">
        <f>'Data Sheet'!I60</f>
        <v>8698.09</v>
      </c>
      <c r="G70" s="13">
        <f>'Data Sheet'!J60</f>
        <v>8665.15</v>
      </c>
      <c r="H70" s="13">
        <f>'Data Sheet'!K60</f>
        <v>9218.23</v>
      </c>
    </row>
    <row r="71" spans="2:8" ht="15" customHeight="1" x14ac:dyDescent="0.35">
      <c r="B71" s="14" t="s">
        <v>56</v>
      </c>
      <c r="C71" s="14">
        <f t="shared" ref="C71:H71" si="14">SUM(C67:C70)</f>
        <v>20355.34</v>
      </c>
      <c r="D71" s="14">
        <f t="shared" si="14"/>
        <v>22958.43</v>
      </c>
      <c r="E71" s="14">
        <f t="shared" si="14"/>
        <v>25779.329999999998</v>
      </c>
      <c r="F71" s="14">
        <f t="shared" si="14"/>
        <v>29900.77</v>
      </c>
      <c r="G71" s="14">
        <f t="shared" si="14"/>
        <v>30355.25</v>
      </c>
      <c r="H71" s="14">
        <f t="shared" si="14"/>
        <v>34518.75</v>
      </c>
    </row>
    <row r="72" spans="2:8" ht="14.25" customHeight="1" x14ac:dyDescent="0.35">
      <c r="B72" t="s">
        <v>57</v>
      </c>
      <c r="C72" s="13">
        <f>'Data Sheet'!F62</f>
        <v>5858.52</v>
      </c>
      <c r="D72" s="13">
        <f>'Data Sheet'!G62</f>
        <v>5519.06</v>
      </c>
      <c r="E72" s="13">
        <f>'Data Sheet'!H62</f>
        <v>5770.46</v>
      </c>
      <c r="F72" s="13">
        <f>'Data Sheet'!I62</f>
        <v>7146.62</v>
      </c>
      <c r="G72" s="13">
        <f>'Data Sheet'!J62</f>
        <v>9220.1</v>
      </c>
      <c r="H72" s="13">
        <f>'Data Sheet'!K62</f>
        <v>9640.2800000000007</v>
      </c>
    </row>
    <row r="73" spans="2:8" ht="14.25" customHeight="1" x14ac:dyDescent="0.35">
      <c r="B73" t="s">
        <v>58</v>
      </c>
      <c r="C73" s="13">
        <f>'Data Sheet'!F63</f>
        <v>182.98</v>
      </c>
      <c r="D73" s="13">
        <f>'Data Sheet'!G63</f>
        <v>426.43</v>
      </c>
      <c r="E73" s="13">
        <f>'Data Sheet'!H63</f>
        <v>1019.59</v>
      </c>
      <c r="F73" s="13">
        <f>'Data Sheet'!I63</f>
        <v>2698.37</v>
      </c>
      <c r="G73" s="13">
        <f>'Data Sheet'!J63</f>
        <v>1254.49</v>
      </c>
      <c r="H73" s="13">
        <f>'Data Sheet'!K63</f>
        <v>1848.67</v>
      </c>
    </row>
    <row r="74" spans="2:8" ht="14.25" customHeight="1" x14ac:dyDescent="0.35">
      <c r="B74" t="s">
        <v>59</v>
      </c>
      <c r="C74" s="13">
        <f>'Data Sheet'!F64</f>
        <v>4736.8</v>
      </c>
      <c r="D74" s="13">
        <f>'Data Sheet'!G64</f>
        <v>3247.53</v>
      </c>
      <c r="E74" s="13">
        <f>'Data Sheet'!H64</f>
        <v>4261.71</v>
      </c>
      <c r="F74" s="13">
        <f>'Data Sheet'!I64</f>
        <v>4587.92</v>
      </c>
      <c r="G74" s="13">
        <f>'Data Sheet'!J64</f>
        <v>4724.75</v>
      </c>
      <c r="H74" s="13">
        <f>'Data Sheet'!K64</f>
        <v>7061.74</v>
      </c>
    </row>
    <row r="75" spans="2:8" ht="14.25" customHeight="1" x14ac:dyDescent="0.35">
      <c r="B75" t="s">
        <v>60</v>
      </c>
      <c r="C75" s="13">
        <f>'Data Sheet'!F67</f>
        <v>2602.17</v>
      </c>
      <c r="D75" s="13">
        <f>'Data Sheet'!G67</f>
        <v>3871.44</v>
      </c>
      <c r="E75" s="13">
        <f>'Data Sheet'!H67</f>
        <v>4636.9399999999996</v>
      </c>
      <c r="F75" s="13">
        <f>'Data Sheet'!I67</f>
        <v>4889.05</v>
      </c>
      <c r="G75" s="13">
        <f>'Data Sheet'!J67</f>
        <v>4313.6499999999996</v>
      </c>
      <c r="H75" s="13">
        <f>'Data Sheet'!K67</f>
        <v>4461.8</v>
      </c>
    </row>
    <row r="76" spans="2:8" ht="14.25" customHeight="1" x14ac:dyDescent="0.35">
      <c r="B76" t="s">
        <v>61</v>
      </c>
      <c r="C76" s="13">
        <f>'Data Sheet'!F68</f>
        <v>3798.6</v>
      </c>
      <c r="D76" s="13">
        <f>'Data Sheet'!G68</f>
        <v>6152.98</v>
      </c>
      <c r="E76" s="13">
        <f>'Data Sheet'!H68</f>
        <v>6210.64</v>
      </c>
      <c r="F76" s="13">
        <f>'Data Sheet'!I68</f>
        <v>5923.41</v>
      </c>
      <c r="G76" s="13">
        <f>'Data Sheet'!J68</f>
        <v>6719.27</v>
      </c>
      <c r="H76" s="13">
        <f>'Data Sheet'!K68</f>
        <v>5743.69</v>
      </c>
    </row>
    <row r="77" spans="2:8" ht="14.25" customHeight="1" x14ac:dyDescent="0.35">
      <c r="B77" t="s">
        <v>62</v>
      </c>
      <c r="C77" s="13">
        <f>'Data Sheet'!F69</f>
        <v>610.75</v>
      </c>
      <c r="D77" s="13">
        <f>'Data Sheet'!G69</f>
        <v>864.33</v>
      </c>
      <c r="E77" s="13">
        <f>'Data Sheet'!H69</f>
        <v>843.82</v>
      </c>
      <c r="F77" s="13">
        <f>'Data Sheet'!I69</f>
        <v>1084.01</v>
      </c>
      <c r="G77" s="13">
        <f>'Data Sheet'!J69</f>
        <v>781.98</v>
      </c>
      <c r="H77" s="13">
        <f>'Data Sheet'!K69</f>
        <v>1073.68</v>
      </c>
    </row>
    <row r="78" spans="2:8" ht="14.25" customHeight="1" x14ac:dyDescent="0.35">
      <c r="B78" t="s">
        <v>63</v>
      </c>
      <c r="C78">
        <f>SUM('Data Sheet'!F65-SUM('Data Sheet'!F67:F69))</f>
        <v>2565.5200000000004</v>
      </c>
      <c r="D78">
        <f>SUM('Data Sheet'!G65-SUM('Data Sheet'!G67:G69))</f>
        <v>2876.66</v>
      </c>
      <c r="E78">
        <f>SUM('Data Sheet'!H65-SUM('Data Sheet'!H67:H69))</f>
        <v>3036.17</v>
      </c>
      <c r="F78">
        <f>SUM('Data Sheet'!I65-SUM('Data Sheet'!I67:I69))</f>
        <v>3571.3900000000012</v>
      </c>
      <c r="G78">
        <f>SUM('Data Sheet'!J65-SUM('Data Sheet'!J67:J69))</f>
        <v>3341.01</v>
      </c>
      <c r="H78">
        <f>SUM('Data Sheet'!K65-SUM('Data Sheet'!K67:K69))</f>
        <v>4688.8899999999994</v>
      </c>
    </row>
    <row r="79" spans="2:8" ht="15" customHeight="1" x14ac:dyDescent="0.35">
      <c r="B79" s="14" t="s">
        <v>56</v>
      </c>
      <c r="C79" s="14">
        <f t="shared" ref="C79:H79" si="15">SUM(C72:C78)</f>
        <v>20355.34</v>
      </c>
      <c r="D79" s="14">
        <f t="shared" si="15"/>
        <v>22958.430000000004</v>
      </c>
      <c r="E79" s="14">
        <f t="shared" si="15"/>
        <v>25779.33</v>
      </c>
      <c r="F79" s="14">
        <f t="shared" si="15"/>
        <v>29900.769999999997</v>
      </c>
      <c r="G79" s="14">
        <f t="shared" si="15"/>
        <v>30355.25</v>
      </c>
      <c r="H79" s="14">
        <f t="shared" si="15"/>
        <v>34518.75</v>
      </c>
    </row>
    <row r="81" spans="2:8" ht="21" customHeight="1" x14ac:dyDescent="0.5">
      <c r="B81" s="55" t="s">
        <v>64</v>
      </c>
      <c r="C81" s="55"/>
      <c r="D81" s="55"/>
      <c r="E81" s="55"/>
      <c r="F81" s="55"/>
      <c r="G81" s="55"/>
      <c r="H81" s="55"/>
    </row>
    <row r="82" spans="2:8" ht="15" customHeight="1" x14ac:dyDescent="0.35">
      <c r="B82" s="8" t="s">
        <v>65</v>
      </c>
      <c r="C82" s="8" t="s">
        <v>66</v>
      </c>
      <c r="D82" s="8" t="s">
        <v>67</v>
      </c>
      <c r="E82" s="15" t="s">
        <v>68</v>
      </c>
      <c r="F82" s="15" t="s">
        <v>69</v>
      </c>
      <c r="G82" s="15" t="s">
        <v>70</v>
      </c>
      <c r="H82" s="15" t="s">
        <v>71</v>
      </c>
    </row>
    <row r="83" spans="2:8" ht="14.25" customHeight="1" x14ac:dyDescent="0.35">
      <c r="B83" s="2" t="s">
        <v>20</v>
      </c>
      <c r="C83" s="5">
        <f t="shared" ref="C83:H83" si="16">CHOOSE($E$85,C86:H86,C87:H87,C88:H88)</f>
        <v>0.16999999999999998</v>
      </c>
      <c r="D83" s="5">
        <f t="shared" si="16"/>
        <v>0.15</v>
      </c>
      <c r="E83" s="5">
        <f t="shared" si="16"/>
        <v>0.13</v>
      </c>
      <c r="F83" s="5">
        <f t="shared" si="16"/>
        <v>0.10999999999999999</v>
      </c>
      <c r="G83" s="5">
        <f t="shared" si="16"/>
        <v>8.9999999999999983E-2</v>
      </c>
      <c r="H83" s="5">
        <f t="shared" si="16"/>
        <v>6.9999999999999979E-2</v>
      </c>
    </row>
    <row r="84" spans="2:8" ht="14.25" customHeight="1" x14ac:dyDescent="0.35">
      <c r="B84" s="2" t="s">
        <v>72</v>
      </c>
      <c r="C84" s="16">
        <f>H41*(1+C83)</f>
        <v>41632.741799999996</v>
      </c>
      <c r="D84" s="16">
        <f>C84*(1+D83)</f>
        <v>47877.653069999993</v>
      </c>
      <c r="E84" s="16">
        <f>D84*(1+E83)</f>
        <v>54101.74796909999</v>
      </c>
      <c r="F84" s="16">
        <f>E84*(1+F83)</f>
        <v>60052.940245700986</v>
      </c>
      <c r="G84" s="16">
        <f>F84*(1+G83)</f>
        <v>65457.704867814078</v>
      </c>
      <c r="H84" s="16">
        <f>G84*(1+H83)</f>
        <v>70039.744208561067</v>
      </c>
    </row>
    <row r="85" spans="2:8" ht="14.25" customHeight="1" x14ac:dyDescent="0.35">
      <c r="B85" s="2" t="s">
        <v>73</v>
      </c>
      <c r="C85" s="17" t="s">
        <v>74</v>
      </c>
      <c r="D85" s="18"/>
      <c r="E85" s="18">
        <f>MATCH(C85,B86:B88,0)</f>
        <v>2</v>
      </c>
    </row>
    <row r="86" spans="2:8" ht="14.25" customHeight="1" x14ac:dyDescent="0.35">
      <c r="B86" s="11" t="s">
        <v>75</v>
      </c>
      <c r="C86" s="5">
        <f>C29</f>
        <v>0.12</v>
      </c>
      <c r="D86" s="12">
        <f>C86-$C$30</f>
        <v>9.9999999999999992E-2</v>
      </c>
      <c r="E86" s="12">
        <f>D86-$C$30</f>
        <v>7.9999999999999988E-2</v>
      </c>
      <c r="F86" s="12">
        <f>E86-$C$30</f>
        <v>5.9999999999999984E-2</v>
      </c>
      <c r="G86" s="12">
        <f>F86-$C$30</f>
        <v>3.999999999999998E-2</v>
      </c>
      <c r="H86" s="12">
        <f>G86-$C$30</f>
        <v>1.999999999999998E-2</v>
      </c>
    </row>
    <row r="87" spans="2:8" ht="14.25" customHeight="1" x14ac:dyDescent="0.35">
      <c r="B87" s="11" t="s">
        <v>74</v>
      </c>
      <c r="C87" s="19">
        <f t="shared" ref="C87:H87" si="17">C86+5%</f>
        <v>0.16999999999999998</v>
      </c>
      <c r="D87" s="19">
        <f t="shared" si="17"/>
        <v>0.15</v>
      </c>
      <c r="E87" s="19">
        <f t="shared" si="17"/>
        <v>0.13</v>
      </c>
      <c r="F87" s="19">
        <f t="shared" si="17"/>
        <v>0.10999999999999999</v>
      </c>
      <c r="G87" s="19">
        <f t="shared" si="17"/>
        <v>8.9999999999999983E-2</v>
      </c>
      <c r="H87" s="19">
        <f t="shared" si="17"/>
        <v>6.9999999999999979E-2</v>
      </c>
    </row>
    <row r="88" spans="2:8" ht="14.25" customHeight="1" x14ac:dyDescent="0.35">
      <c r="B88" s="11" t="s">
        <v>76</v>
      </c>
      <c r="C88" s="19">
        <f t="shared" ref="C88:H88" si="18">C86-5%</f>
        <v>6.9999999999999993E-2</v>
      </c>
      <c r="D88" s="19">
        <f t="shared" si="18"/>
        <v>4.9999999999999989E-2</v>
      </c>
      <c r="E88" s="19">
        <f t="shared" si="18"/>
        <v>2.9999999999999985E-2</v>
      </c>
      <c r="F88" s="19">
        <f t="shared" si="18"/>
        <v>9.9999999999999811E-3</v>
      </c>
      <c r="G88" s="19">
        <f t="shared" si="18"/>
        <v>-1.0000000000000023E-2</v>
      </c>
      <c r="H88" s="19">
        <f t="shared" si="18"/>
        <v>-3.0000000000000023E-2</v>
      </c>
    </row>
    <row r="90" spans="2:8" ht="21" customHeight="1" x14ac:dyDescent="0.5">
      <c r="B90" s="53" t="s">
        <v>77</v>
      </c>
      <c r="C90" s="53"/>
      <c r="D90" s="53"/>
      <c r="E90" s="53"/>
      <c r="F90" s="53"/>
      <c r="G90" s="53"/>
      <c r="H90" s="53"/>
    </row>
    <row r="91" spans="2:8" ht="14.25" customHeight="1" x14ac:dyDescent="0.35">
      <c r="B91" s="20" t="s">
        <v>32</v>
      </c>
      <c r="C91" s="20" t="s">
        <v>66</v>
      </c>
      <c r="D91" s="20" t="s">
        <v>67</v>
      </c>
      <c r="E91" s="20" t="s">
        <v>68</v>
      </c>
      <c r="F91" s="20" t="s">
        <v>69</v>
      </c>
      <c r="G91" s="20" t="s">
        <v>70</v>
      </c>
      <c r="H91" s="20" t="s">
        <v>71</v>
      </c>
    </row>
    <row r="92" spans="2:8" ht="14.25" customHeight="1" x14ac:dyDescent="0.35">
      <c r="B92" s="2" t="s">
        <v>78</v>
      </c>
      <c r="C92" s="16">
        <f t="shared" ref="C92:H92" si="19">C84</f>
        <v>41632.741799999996</v>
      </c>
      <c r="D92" s="16">
        <f t="shared" si="19"/>
        <v>47877.653069999993</v>
      </c>
      <c r="E92" s="16">
        <f t="shared" si="19"/>
        <v>54101.74796909999</v>
      </c>
      <c r="F92" s="16">
        <f t="shared" si="19"/>
        <v>60052.940245700986</v>
      </c>
      <c r="G92" s="16">
        <f t="shared" si="19"/>
        <v>65457.704867814078</v>
      </c>
      <c r="H92" s="16">
        <f t="shared" si="19"/>
        <v>70039.744208561067</v>
      </c>
    </row>
    <row r="93" spans="2:8" ht="14.25" customHeight="1" x14ac:dyDescent="0.35">
      <c r="B93" s="2" t="s">
        <v>79</v>
      </c>
      <c r="C93" s="12">
        <f>H50</f>
        <v>0.18828171677129377</v>
      </c>
      <c r="D93" s="12">
        <f>C93</f>
        <v>0.18828171677129377</v>
      </c>
      <c r="E93" s="12">
        <f>D93</f>
        <v>0.18828171677129377</v>
      </c>
      <c r="F93" s="12">
        <f>E93</f>
        <v>0.18828171677129377</v>
      </c>
      <c r="G93" s="12">
        <f>F93</f>
        <v>0.18828171677129377</v>
      </c>
      <c r="H93" s="12">
        <f>G93</f>
        <v>0.18828171677129377</v>
      </c>
    </row>
    <row r="94" spans="2:8" ht="14.25" customHeight="1" x14ac:dyDescent="0.35">
      <c r="B94" s="2" t="s">
        <v>40</v>
      </c>
      <c r="C94" s="16">
        <f t="shared" ref="C94:H94" si="20">C92*C93</f>
        <v>7838.6841000000022</v>
      </c>
      <c r="D94" s="16">
        <f t="shared" si="20"/>
        <v>9014.4867150000027</v>
      </c>
      <c r="E94" s="16">
        <f t="shared" si="20"/>
        <v>10186.369987950002</v>
      </c>
      <c r="F94" s="16">
        <f t="shared" si="20"/>
        <v>11306.870686624501</v>
      </c>
      <c r="G94" s="16">
        <f t="shared" si="20"/>
        <v>12324.489048420708</v>
      </c>
      <c r="H94" s="16">
        <f t="shared" si="20"/>
        <v>13187.203281810158</v>
      </c>
    </row>
    <row r="95" spans="2:8" ht="14.25" customHeight="1" x14ac:dyDescent="0.35">
      <c r="B95" s="2" t="s">
        <v>80</v>
      </c>
      <c r="C95" s="21">
        <f t="shared" ref="C95:H95" si="21">C92*AVERAGE(C52:H52)</f>
        <v>1236.5603156309996</v>
      </c>
      <c r="D95" s="21">
        <f t="shared" si="21"/>
        <v>1357.4962333182002</v>
      </c>
      <c r="E95" s="21">
        <f t="shared" si="21"/>
        <v>1538.0428080974168</v>
      </c>
      <c r="F95" s="21">
        <f t="shared" si="21"/>
        <v>1778.2968772268414</v>
      </c>
      <c r="G95" s="21">
        <f t="shared" si="21"/>
        <v>2120.9842352424844</v>
      </c>
      <c r="H95" s="21">
        <f t="shared" si="21"/>
        <v>2418.7683313883404</v>
      </c>
    </row>
    <row r="96" spans="2:8" ht="14.25" customHeight="1" x14ac:dyDescent="0.35">
      <c r="B96" s="2" t="s">
        <v>43</v>
      </c>
      <c r="C96" s="16">
        <f t="shared" ref="C96:H96" si="22">C94-C95</f>
        <v>6602.1237843690024</v>
      </c>
      <c r="D96" s="16">
        <f t="shared" si="22"/>
        <v>7656.9904816818025</v>
      </c>
      <c r="E96" s="16">
        <f t="shared" si="22"/>
        <v>8648.3271798525857</v>
      </c>
      <c r="F96" s="16">
        <f t="shared" si="22"/>
        <v>9528.5738093976597</v>
      </c>
      <c r="G96" s="16">
        <f t="shared" si="22"/>
        <v>10203.504813178224</v>
      </c>
      <c r="H96" s="16">
        <f t="shared" si="22"/>
        <v>10768.434950421817</v>
      </c>
    </row>
    <row r="97" spans="2:8" ht="14.25" customHeight="1" x14ac:dyDescent="0.35">
      <c r="B97" s="2" t="s">
        <v>81</v>
      </c>
      <c r="C97" s="16">
        <f t="shared" ref="C97:H97" si="23">C96*tax_rate</f>
        <v>1650.5309460922506</v>
      </c>
      <c r="D97" s="16">
        <f t="shared" si="23"/>
        <v>1914.2476204204506</v>
      </c>
      <c r="E97" s="16">
        <f t="shared" si="23"/>
        <v>2162.0817949631464</v>
      </c>
      <c r="F97" s="16">
        <f t="shared" si="23"/>
        <v>2382.1434523494149</v>
      </c>
      <c r="G97" s="16">
        <f t="shared" si="23"/>
        <v>2550.876203294556</v>
      </c>
      <c r="H97" s="16">
        <f t="shared" si="23"/>
        <v>2692.1087376054543</v>
      </c>
    </row>
    <row r="98" spans="2:8" ht="14.25" customHeight="1" x14ac:dyDescent="0.35">
      <c r="B98" s="2" t="s">
        <v>82</v>
      </c>
      <c r="C98" s="16">
        <f t="shared" ref="C98:H98" si="24">C96-C97</f>
        <v>4951.5928382767515</v>
      </c>
      <c r="D98" s="16">
        <f t="shared" si="24"/>
        <v>5742.7428612613521</v>
      </c>
      <c r="E98" s="16">
        <f t="shared" si="24"/>
        <v>6486.2453848894393</v>
      </c>
      <c r="F98" s="16">
        <f t="shared" si="24"/>
        <v>7146.4303570482443</v>
      </c>
      <c r="G98" s="16">
        <f t="shared" si="24"/>
        <v>7652.6286098836681</v>
      </c>
      <c r="H98" s="16">
        <f t="shared" si="24"/>
        <v>8076.3262128163624</v>
      </c>
    </row>
    <row r="99" spans="2:8" ht="14.25" customHeight="1" x14ac:dyDescent="0.35">
      <c r="B99" s="2" t="s">
        <v>83</v>
      </c>
      <c r="C99" s="21">
        <f t="shared" ref="C99:H99" si="25">C95</f>
        <v>1236.5603156309996</v>
      </c>
      <c r="D99" s="21">
        <f t="shared" si="25"/>
        <v>1357.4962333182002</v>
      </c>
      <c r="E99" s="21">
        <f t="shared" si="25"/>
        <v>1538.0428080974168</v>
      </c>
      <c r="F99" s="21">
        <f t="shared" si="25"/>
        <v>1778.2968772268414</v>
      </c>
      <c r="G99" s="21">
        <f t="shared" si="25"/>
        <v>2120.9842352424844</v>
      </c>
      <c r="H99" s="21">
        <f t="shared" si="25"/>
        <v>2418.7683313883404</v>
      </c>
    </row>
    <row r="100" spans="2:8" ht="14.25" customHeight="1" x14ac:dyDescent="0.35">
      <c r="B100" s="2" t="s">
        <v>84</v>
      </c>
      <c r="C100" s="22">
        <f t="shared" ref="C100:H100" si="26">-C98*50%</f>
        <v>-2475.7964191383758</v>
      </c>
      <c r="D100" s="22">
        <f t="shared" si="26"/>
        <v>-2871.3714306306761</v>
      </c>
      <c r="E100" s="22">
        <f t="shared" si="26"/>
        <v>-3243.1226924447196</v>
      </c>
      <c r="F100" s="22">
        <f t="shared" si="26"/>
        <v>-3573.2151785241222</v>
      </c>
      <c r="G100" s="22">
        <f t="shared" si="26"/>
        <v>-3826.3143049418341</v>
      </c>
      <c r="H100" s="22">
        <f t="shared" si="26"/>
        <v>-4038.1631064081812</v>
      </c>
    </row>
    <row r="101" spans="2:8" ht="14.25" customHeight="1" x14ac:dyDescent="0.35">
      <c r="B101" s="23" t="s">
        <v>85</v>
      </c>
      <c r="C101" s="24">
        <f t="shared" ref="C101:H101" si="27">SUM(C98:C100)</f>
        <v>3712.3567347693756</v>
      </c>
      <c r="D101" s="24">
        <f t="shared" si="27"/>
        <v>4228.8676639488767</v>
      </c>
      <c r="E101" s="24">
        <f t="shared" si="27"/>
        <v>4781.1655005421362</v>
      </c>
      <c r="F101" s="24">
        <f t="shared" si="27"/>
        <v>5351.5120557509636</v>
      </c>
      <c r="G101" s="24">
        <f t="shared" si="27"/>
        <v>5947.298540184318</v>
      </c>
      <c r="H101" s="24">
        <f t="shared" si="27"/>
        <v>6456.931437796522</v>
      </c>
    </row>
    <row r="103" spans="2:8" ht="19.5" customHeight="1" x14ac:dyDescent="0.4">
      <c r="B103" s="56" t="s">
        <v>86</v>
      </c>
      <c r="C103" s="56"/>
      <c r="D103" s="56"/>
      <c r="E103" s="56"/>
      <c r="F103" s="56"/>
      <c r="G103" s="56"/>
      <c r="H103" s="56"/>
    </row>
    <row r="105" spans="2:8" ht="15" customHeight="1" x14ac:dyDescent="0.35">
      <c r="B105" s="25" t="s">
        <v>87</v>
      </c>
    </row>
    <row r="106" spans="2:8" ht="14.25" customHeight="1" x14ac:dyDescent="0.35">
      <c r="B106" s="26" t="s">
        <v>88</v>
      </c>
      <c r="C106" s="7">
        <f>Comps!F25</f>
        <v>2.570423292941236E-3</v>
      </c>
    </row>
    <row r="107" spans="2:8" ht="14.25" customHeight="1" x14ac:dyDescent="0.35">
      <c r="B107" s="26" t="s">
        <v>89</v>
      </c>
      <c r="C107" s="7">
        <f>1-C106</f>
        <v>0.99742957670705878</v>
      </c>
    </row>
    <row r="108" spans="2:8" ht="15" customHeight="1" x14ac:dyDescent="0.35">
      <c r="B108" s="25" t="s">
        <v>90</v>
      </c>
    </row>
    <row r="109" spans="2:8" ht="14.25" customHeight="1" x14ac:dyDescent="0.35">
      <c r="B109" s="26" t="s">
        <v>91</v>
      </c>
      <c r="C109" s="27">
        <f>Comps!E10</f>
        <v>256105.81</v>
      </c>
    </row>
    <row r="110" spans="2:8" ht="14.25" customHeight="1" x14ac:dyDescent="0.35">
      <c r="B110" s="26" t="s">
        <v>92</v>
      </c>
      <c r="C110" s="27">
        <f>Comps!J10</f>
        <v>3928.93</v>
      </c>
    </row>
    <row r="111" spans="2:8" ht="14.25" customHeight="1" x14ac:dyDescent="0.35">
      <c r="B111" s="26" t="s">
        <v>93</v>
      </c>
      <c r="C111" s="7">
        <f>C110/C109</f>
        <v>1.5341042048206559E-2</v>
      </c>
    </row>
    <row r="112" spans="2:8" ht="15" customHeight="1" x14ac:dyDescent="0.35">
      <c r="B112" s="25" t="s">
        <v>94</v>
      </c>
    </row>
    <row r="113" spans="2:8" ht="14.25" customHeight="1" x14ac:dyDescent="0.35">
      <c r="B113" s="26" t="s">
        <v>95</v>
      </c>
      <c r="C113" s="6">
        <v>7.4999999999999997E-2</v>
      </c>
    </row>
    <row r="114" spans="2:8" ht="14.25" customHeight="1" x14ac:dyDescent="0.35">
      <c r="B114" s="26" t="s">
        <v>29</v>
      </c>
      <c r="C114" s="7">
        <f>tax_rate</f>
        <v>0.25</v>
      </c>
    </row>
    <row r="115" spans="2:8" ht="14.25" customHeight="1" x14ac:dyDescent="0.35">
      <c r="B115" s="26" t="s">
        <v>96</v>
      </c>
      <c r="C115" s="7">
        <f>C113*(1-C114)</f>
        <v>5.6249999999999994E-2</v>
      </c>
    </row>
    <row r="116" spans="2:8" ht="15" customHeight="1" x14ac:dyDescent="0.35">
      <c r="B116" s="25" t="s">
        <v>97</v>
      </c>
    </row>
    <row r="117" spans="2:8" ht="14.25" customHeight="1" x14ac:dyDescent="0.35">
      <c r="B117" s="26" t="s">
        <v>98</v>
      </c>
      <c r="C117" s="7">
        <f>C34</f>
        <v>6.8000000000000005E-2</v>
      </c>
    </row>
    <row r="118" spans="2:8" ht="14.25" customHeight="1" x14ac:dyDescent="0.35">
      <c r="B118" s="26" t="s">
        <v>99</v>
      </c>
      <c r="C118" s="7">
        <f>C35</f>
        <v>5.1999999999999991E-2</v>
      </c>
    </row>
    <row r="119" spans="2:8" ht="14.25" customHeight="1" x14ac:dyDescent="0.35">
      <c r="B119" s="26" t="s">
        <v>100</v>
      </c>
      <c r="C119" s="28">
        <f>Comps!I25*(1+C111*(1-tax_rate))</f>
        <v>0.71289726469212411</v>
      </c>
    </row>
    <row r="120" spans="2:8" ht="14.25" customHeight="1" x14ac:dyDescent="0.35">
      <c r="B120" s="26" t="s">
        <v>97</v>
      </c>
      <c r="C120" s="7">
        <f>C117+C119*C118</f>
        <v>0.10507065776399045</v>
      </c>
    </row>
    <row r="121" spans="2:8" ht="14.25" customHeight="1" x14ac:dyDescent="0.35">
      <c r="B121" s="29" t="s">
        <v>101</v>
      </c>
      <c r="C121" s="30">
        <f>(C120*C107)+(C115*C106)</f>
        <v>0.10494516800809718</v>
      </c>
    </row>
    <row r="123" spans="2:8" ht="19.5" customHeight="1" x14ac:dyDescent="0.4">
      <c r="B123" s="56" t="s">
        <v>102</v>
      </c>
      <c r="C123" s="56"/>
      <c r="D123" s="56"/>
      <c r="E123" s="56"/>
      <c r="F123" s="56"/>
      <c r="G123" s="56"/>
      <c r="H123" s="56"/>
    </row>
    <row r="125" spans="2:8" ht="14.25" customHeight="1" x14ac:dyDescent="0.35">
      <c r="B125" s="26" t="s">
        <v>103</v>
      </c>
      <c r="C125" s="31">
        <f>H101</f>
        <v>6456.931437796522</v>
      </c>
    </row>
    <row r="126" spans="2:8" ht="14.25" customHeight="1" x14ac:dyDescent="0.35">
      <c r="B126" s="26" t="s">
        <v>104</v>
      </c>
      <c r="C126" s="7">
        <f>C32</f>
        <v>0.05</v>
      </c>
    </row>
    <row r="127" spans="2:8" ht="14.25" customHeight="1" x14ac:dyDescent="0.35">
      <c r="B127" s="26" t="s">
        <v>105</v>
      </c>
    </row>
    <row r="128" spans="2:8" ht="14.25" customHeight="1" x14ac:dyDescent="0.35">
      <c r="B128" s="29" t="s">
        <v>106</v>
      </c>
      <c r="C128" s="32">
        <f>C125*(1+C126)/(C121-C126)</f>
        <v>123391.70586733347</v>
      </c>
    </row>
    <row r="130" spans="2:9" ht="19.5" customHeight="1" x14ac:dyDescent="0.4">
      <c r="B130" s="56" t="s">
        <v>107</v>
      </c>
      <c r="C130" s="56"/>
      <c r="D130" s="56"/>
      <c r="E130" s="56"/>
      <c r="F130" s="56"/>
      <c r="G130" s="56"/>
      <c r="H130" s="56"/>
    </row>
    <row r="131" spans="2:9" ht="14.25" customHeight="1" x14ac:dyDescent="0.35">
      <c r="B131" s="26" t="s">
        <v>65</v>
      </c>
      <c r="C131" s="29" t="s">
        <v>66</v>
      </c>
      <c r="D131" s="29" t="s">
        <v>67</v>
      </c>
      <c r="E131" s="29" t="s">
        <v>68</v>
      </c>
      <c r="F131" s="29" t="s">
        <v>69</v>
      </c>
      <c r="G131" s="29" t="s">
        <v>70</v>
      </c>
      <c r="H131" s="29" t="s">
        <v>71</v>
      </c>
      <c r="I131" s="29" t="s">
        <v>106</v>
      </c>
    </row>
    <row r="132" spans="2:9" ht="14.25" customHeight="1" x14ac:dyDescent="0.35">
      <c r="B132" s="26" t="s">
        <v>108</v>
      </c>
      <c r="C132" s="31">
        <f t="shared" ref="C132:H132" si="28">C101</f>
        <v>3712.3567347693756</v>
      </c>
      <c r="D132" s="31">
        <f t="shared" si="28"/>
        <v>4228.8676639488767</v>
      </c>
      <c r="E132" s="31">
        <f t="shared" si="28"/>
        <v>4781.1655005421362</v>
      </c>
      <c r="F132" s="31">
        <f t="shared" si="28"/>
        <v>5351.5120557509636</v>
      </c>
      <c r="G132" s="31">
        <f t="shared" si="28"/>
        <v>5947.298540184318</v>
      </c>
      <c r="H132" s="31">
        <f t="shared" si="28"/>
        <v>6456.931437796522</v>
      </c>
      <c r="I132" s="31">
        <f>C128</f>
        <v>123391.70586733347</v>
      </c>
    </row>
    <row r="133" spans="2:9" ht="14.25" customHeight="1" x14ac:dyDescent="0.35">
      <c r="B133" s="26" t="s">
        <v>109</v>
      </c>
      <c r="C133" s="33">
        <f>1/(1+$C$121)^1</f>
        <v>0.90502228432087395</v>
      </c>
      <c r="D133" s="33">
        <f>1/(1+$C$121)^2</f>
        <v>0.81906533511737267</v>
      </c>
      <c r="E133" s="33">
        <f>1/(1+$C$121)^3</f>
        <v>0.74127238059596678</v>
      </c>
      <c r="F133" s="33">
        <f>1/(1+$C$121)^4</f>
        <v>0.67086802319093408</v>
      </c>
      <c r="G133" s="33">
        <f>1/(1+$C$121)^5</f>
        <v>0.60715051082608817</v>
      </c>
      <c r="H133" s="33">
        <f>1/(1+$C$121)^6</f>
        <v>0.54948474223441179</v>
      </c>
      <c r="I133" s="33">
        <f>1/(1+$C$121)^6</f>
        <v>0.54948474223441179</v>
      </c>
    </row>
    <row r="134" spans="2:9" ht="14.25" customHeight="1" x14ac:dyDescent="0.35">
      <c r="B134" s="26" t="s">
        <v>110</v>
      </c>
      <c r="C134" s="31">
        <f t="shared" ref="C134:I134" si="29">C132*C133</f>
        <v>3359.765572314961</v>
      </c>
      <c r="D134" s="31">
        <f t="shared" si="29"/>
        <v>3463.7189103393075</v>
      </c>
      <c r="E134" s="31">
        <f t="shared" si="29"/>
        <v>3544.1459326101763</v>
      </c>
      <c r="F134" s="31">
        <f t="shared" si="29"/>
        <v>3590.1583139241006</v>
      </c>
      <c r="G134" s="31">
        <f t="shared" si="29"/>
        <v>3610.9053467081571</v>
      </c>
      <c r="H134" s="31">
        <f t="shared" si="29"/>
        <v>3547.9853067228919</v>
      </c>
      <c r="I134" s="31">
        <f t="shared" si="29"/>
        <v>67801.859692376092</v>
      </c>
    </row>
    <row r="136" spans="2:9" ht="19.5" customHeight="1" x14ac:dyDescent="0.4">
      <c r="B136" s="56" t="s">
        <v>111</v>
      </c>
      <c r="C136" s="56"/>
      <c r="D136" s="56"/>
      <c r="E136" s="56"/>
      <c r="F136" s="56"/>
      <c r="G136" s="56"/>
      <c r="H136" s="56"/>
    </row>
    <row r="138" spans="2:9" ht="15" customHeight="1" x14ac:dyDescent="0.35">
      <c r="C138" s="25" t="s">
        <v>112</v>
      </c>
    </row>
    <row r="140" spans="2:9" ht="21.75" customHeight="1" x14ac:dyDescent="0.45">
      <c r="C140" s="34">
        <f>SUM(C134:H134)</f>
        <v>21116.679382619594</v>
      </c>
    </row>
    <row r="142" spans="2:9" ht="15" customHeight="1" x14ac:dyDescent="0.35">
      <c r="C142" s="25" t="s">
        <v>113</v>
      </c>
    </row>
    <row r="144" spans="2:9" ht="21.75" customHeight="1" x14ac:dyDescent="0.45">
      <c r="C144" s="34">
        <f>I134</f>
        <v>67801.859692376092</v>
      </c>
    </row>
    <row r="146" spans="2:3" ht="15" customHeight="1" x14ac:dyDescent="0.35">
      <c r="C146" s="25" t="s">
        <v>114</v>
      </c>
    </row>
    <row r="148" spans="2:3" ht="21.75" customHeight="1" x14ac:dyDescent="0.45">
      <c r="C148" s="34">
        <f>C140+C144</f>
        <v>88918.539074995686</v>
      </c>
    </row>
    <row r="151" spans="2:3" ht="14.25" customHeight="1" x14ac:dyDescent="0.35">
      <c r="B151" s="26" t="s">
        <v>114</v>
      </c>
      <c r="C151" s="31">
        <f>C148</f>
        <v>88918.539074995686</v>
      </c>
    </row>
    <row r="152" spans="2:3" ht="14.25" customHeight="1" x14ac:dyDescent="0.35">
      <c r="B152" s="26" t="s">
        <v>115</v>
      </c>
      <c r="C152" s="31">
        <f>C110</f>
        <v>3928.93</v>
      </c>
    </row>
    <row r="153" spans="2:3" ht="14.25" customHeight="1" x14ac:dyDescent="0.35">
      <c r="B153" s="26" t="s">
        <v>116</v>
      </c>
      <c r="C153" s="27">
        <f>Comps!K10</f>
        <v>1073.68</v>
      </c>
    </row>
    <row r="154" spans="2:3" ht="14.25" customHeight="1" x14ac:dyDescent="0.35">
      <c r="B154" s="29" t="s">
        <v>117</v>
      </c>
      <c r="C154" s="32">
        <f>C151-C152+C153</f>
        <v>86063.289074995686</v>
      </c>
    </row>
    <row r="155" spans="2:3" ht="14.25" customHeight="1" x14ac:dyDescent="0.35">
      <c r="B155" s="26" t="s">
        <v>118</v>
      </c>
      <c r="C155" s="27">
        <f>'Data Sheet'!K94</f>
        <v>95.92</v>
      </c>
    </row>
    <row r="156" spans="2:3" ht="14.25" customHeight="1" x14ac:dyDescent="0.35">
      <c r="B156" s="29" t="s">
        <v>119</v>
      </c>
      <c r="C156" s="32">
        <f>C154/C155</f>
        <v>897.24029477685247</v>
      </c>
    </row>
    <row r="157" spans="2:3" ht="14.25" customHeight="1" x14ac:dyDescent="0.35">
      <c r="B157" s="26" t="s">
        <v>120</v>
      </c>
      <c r="C157" s="27">
        <f>'Data Sheet'!B8</f>
        <v>2670</v>
      </c>
    </row>
    <row r="158" spans="2:3" ht="14.25" customHeight="1" x14ac:dyDescent="0.35">
      <c r="B158" s="29" t="s">
        <v>121</v>
      </c>
      <c r="C158" s="30">
        <f>C156/C157-1</f>
        <v>-0.66395494577645975</v>
      </c>
    </row>
    <row r="161" spans="2:8" ht="19.5" customHeight="1" x14ac:dyDescent="0.4">
      <c r="B161" s="56" t="s">
        <v>122</v>
      </c>
      <c r="C161" s="56"/>
      <c r="D161" s="56"/>
      <c r="E161" s="56"/>
      <c r="F161" s="56"/>
      <c r="G161" s="56"/>
      <c r="H161" s="56"/>
    </row>
    <row r="162" spans="2:8" ht="14.25" customHeight="1" x14ac:dyDescent="0.35">
      <c r="B162" s="26" t="s">
        <v>123</v>
      </c>
    </row>
    <row r="163" spans="2:8" ht="14.25" customHeight="1" x14ac:dyDescent="0.35">
      <c r="B163" s="32">
        <f>C156</f>
        <v>897.24029477685247</v>
      </c>
      <c r="C163" s="7">
        <f>D163-0.5%</f>
        <v>8.9945168008097168E-2</v>
      </c>
      <c r="D163" s="7">
        <f>E163-0.5%</f>
        <v>9.4945168008097172E-2</v>
      </c>
      <c r="E163" s="7">
        <f>F163-0.5%</f>
        <v>9.9945168008097177E-2</v>
      </c>
      <c r="F163" s="30">
        <f>$C$121</f>
        <v>0.10494516800809718</v>
      </c>
      <c r="G163" s="7">
        <f>F163+0.5%</f>
        <v>0.10994516800809719</v>
      </c>
      <c r="H163" s="7">
        <f>G163+0.5%</f>
        <v>0.11494516800809719</v>
      </c>
    </row>
    <row r="164" spans="2:8" ht="14.25" customHeight="1" x14ac:dyDescent="0.35">
      <c r="B164" s="6">
        <v>0.03</v>
      </c>
      <c r="C164" s="31">
        <f>(SUMPRODUCT($C$132:$H$132,1/(1+C$163)^{1,2,3,4,5,6})+($H$132*(1+$B164)/(C$163-$B164))/(1+C$163)^6-$C$152+$C$153)/$C$155</f>
        <v>891.21633250517129</v>
      </c>
      <c r="D164" s="31">
        <f>(SUMPRODUCT($C$132:$H$132,1/(1+D$163)^{1,2,3,4,5,6})+($H$132*(1+$B164)/(D$163-$B164))/(1+D$163)^6-$C$152+$C$153)/$C$155</f>
        <v>817.11352557426744</v>
      </c>
      <c r="E164" s="31">
        <f>(SUMPRODUCT($C$132:$H$132,1/(1+E$163)^{1,2,3,4,5,6})+($H$132*(1+$B164)/(E$163-$B164))/(1+E$163)^6-$C$152+$C$153)/$C$155</f>
        <v>753.66462855762256</v>
      </c>
      <c r="F164" s="31">
        <f>(SUMPRODUCT($C$132:$H$132,1/(1+F$163)^{1,2,3,4,5,6})+($H$132*(1+$B164)/(F$163-$B164))/(1+F$163)^6-$C$152+$C$153)/$C$155</f>
        <v>698.73585621246411</v>
      </c>
      <c r="G164" s="31">
        <f>(SUMPRODUCT($C$132:$H$132,1/(1+G$163)^{1,2,3,4,5,6})+($H$132*(1+$B164)/(G$163-$B164))/(1+G$163)^6-$C$152+$C$153)/$C$155</f>
        <v>650.72727791323734</v>
      </c>
      <c r="H164" s="31">
        <f>(SUMPRODUCT($C$132:$H$132,1/(1+H$163)^{1,2,3,4,5,6})+($H$132*(1+$B164)/(H$163-$B164))/(1+H$163)^6-$C$152+$C$153)/$C$155</f>
        <v>608.41569878403777</v>
      </c>
    </row>
    <row r="165" spans="2:8" ht="14.25" customHeight="1" x14ac:dyDescent="0.35">
      <c r="B165" s="6">
        <v>0.04</v>
      </c>
      <c r="C165" s="31">
        <f>(SUMPRODUCT($C$132:$H$132,1/(1+C$163)^{1,2,3,4,5,6})+($H$132*(1+$B165)/(C$163-$B165))/(1+C$163)^6-$C$152+$C$153)/$C$155</f>
        <v>1037.3822418444167</v>
      </c>
      <c r="D165" s="31">
        <f>(SUMPRODUCT($C$132:$H$132,1/(1+D$163)^{1,2,3,4,5,6})+($H$132*(1+$B165)/(D$163-$B165))/(1+D$163)^6-$C$152+$C$153)/$C$155</f>
        <v>936.9747742116698</v>
      </c>
      <c r="E165" s="31">
        <f>(SUMPRODUCT($C$132:$H$132,1/(1+E$163)^{1,2,3,4,5,6})+($H$132*(1+$B165)/(E$163-$B165))/(1+E$163)^6-$C$152+$C$153)/$C$155</f>
        <v>853.37720185067633</v>
      </c>
      <c r="F165" s="31">
        <f>(SUMPRODUCT($C$132:$H$132,1/(1+F$163)^{1,2,3,4,5,6})+($H$132*(1+$B165)/(F$163-$B165))/(1+F$163)^6-$C$152+$C$153)/$C$155</f>
        <v>782.70561148289073</v>
      </c>
      <c r="G165" s="31">
        <f>(SUMPRODUCT($C$132:$H$132,1/(1+G$163)^{1,2,3,4,5,6})+($H$132*(1+$B165)/(G$163-$B165))/(1+G$163)^6-$C$152+$C$153)/$C$155</f>
        <v>722.18669070601686</v>
      </c>
      <c r="H165" s="31">
        <f>(SUMPRODUCT($C$132:$H$132,1/(1+H$163)^{1,2,3,4,5,6})+($H$132*(1+$B165)/(H$163-$B165))/(1+H$163)^6-$C$152+$C$153)/$C$155</f>
        <v>669.78725545374596</v>
      </c>
    </row>
    <row r="166" spans="2:8" ht="14.25" customHeight="1" x14ac:dyDescent="0.35">
      <c r="B166" s="6">
        <v>0.05</v>
      </c>
      <c r="C166" s="31">
        <f>(SUMPRODUCT($C$132:$H$132,1/(1+C$163)^{1,2,3,4,5,6})+($H$132*(1+$B166)/(C$163-$B166))/(1+C$163)^6-$C$152+$C$153)/$C$155</f>
        <v>1256.7314254708635</v>
      </c>
      <c r="D166" s="31">
        <f>(SUMPRODUCT($C$132:$H$132,1/(1+D$163)^{1,2,3,4,5,6})+($H$132*(1+$B166)/(D$163-$B166))/(1+D$163)^6-$C$152+$C$153)/$C$155</f>
        <v>1110.1726790234613</v>
      </c>
      <c r="E166" s="31">
        <f>(SUMPRODUCT($C$132:$H$132,1/(1+E$163)^{1,2,3,4,5,6})+($H$132*(1+$B166)/(E$163-$B166))/(1+E$163)^6-$C$152+$C$153)/$C$155</f>
        <v>993.01859199219427</v>
      </c>
      <c r="F166" s="31">
        <f>(SUMPRODUCT($C$132:$H$132,1/(1+F$163)^{1,2,3,4,5,6})+($H$132*(1+$B166)/(F$163-$B166))/(1+F$163)^6-$C$152+$C$153)/$C$155</f>
        <v>897.24029477685247</v>
      </c>
      <c r="G166" s="31">
        <f>(SUMPRODUCT($C$132:$H$132,1/(1+G$163)^{1,2,3,4,5,6})+($H$132*(1+$B166)/(G$163-$B166))/(1+G$163)^6-$C$152+$C$153)/$C$155</f>
        <v>817.48769579631971</v>
      </c>
      <c r="H166" s="31">
        <f>(SUMPRODUCT($C$132:$H$132,1/(1+H$163)^{1,2,3,4,5,6})+($H$132*(1+$B166)/(H$163-$B166))/(1+H$163)^6-$C$152+$C$153)/$C$155</f>
        <v>750.05831105524749</v>
      </c>
    </row>
    <row r="167" spans="2:8" ht="14.25" customHeight="1" x14ac:dyDescent="0.35">
      <c r="B167" s="6">
        <v>0.06</v>
      </c>
      <c r="C167" s="31">
        <f>(SUMPRODUCT($C$132:$H$132,1/(1+C$163)^{1,2,3,4,5,6})+($H$132*(1+$B167)/(C$163-$B167))/(1+C$163)^6-$C$152+$C$153)/$C$155</f>
        <v>1622.5811620861161</v>
      </c>
      <c r="D167" s="31">
        <f>(SUMPRODUCT($C$132:$H$132,1/(1+D$163)^{1,2,3,4,5,6})+($H$132*(1+$B167)/(D$163-$B167))/(1+D$163)^6-$C$152+$C$153)/$C$155</f>
        <v>1382.4961080116768</v>
      </c>
      <c r="E167" s="31">
        <f>(SUMPRODUCT($C$132:$H$132,1/(1+E$163)^{1,2,3,4,5,6})+($H$132*(1+$B167)/(E$163-$B167))/(1+E$163)^6-$C$152+$C$153)/$C$155</f>
        <v>1202.5765187787506</v>
      </c>
      <c r="F167" s="31">
        <f>(SUMPRODUCT($C$132:$H$132,1/(1+F$163)^{1,2,3,4,5,6})+($H$132*(1+$B167)/(F$163-$B167))/(1+F$163)^6-$C$152+$C$153)/$C$155</f>
        <v>1062.7413837468714</v>
      </c>
      <c r="G167" s="31">
        <f>(SUMPRODUCT($C$132:$H$132,1/(1+G$163)^{1,2,3,4,5,6})+($H$132*(1+$B167)/(G$163-$B167))/(1+G$163)^6-$C$152+$C$153)/$C$155</f>
        <v>950.95095316890638</v>
      </c>
      <c r="H167" s="31">
        <f>(SUMPRODUCT($C$132:$H$132,1/(1+H$163)^{1,2,3,4,5,6})+($H$132*(1+$B167)/(H$163-$B167))/(1+H$163)^6-$C$152+$C$153)/$C$155</f>
        <v>859.54797077118985</v>
      </c>
    </row>
    <row r="168" spans="2:8" ht="14.25" customHeight="1" x14ac:dyDescent="0.35">
      <c r="B168" s="6">
        <v>7.0000000000000007E-2</v>
      </c>
      <c r="C168" s="31">
        <f>(SUMPRODUCT($C$132:$H$132,1/(1+C$163)^{1,2,3,4,5,6})+($H$132*(1+$B168)/(C$163-$B168))/(1+C$163)^6-$C$152+$C$153)/$C$155</f>
        <v>2355.2864062275307</v>
      </c>
      <c r="D168" s="31">
        <f>(SUMPRODUCT($C$132:$H$132,1/(1+D$163)^{1,2,3,4,5,6})+($H$132*(1+$B168)/(D$163-$B168))/(1+D$163)^6-$C$152+$C$153)/$C$155</f>
        <v>1873.1571556519862</v>
      </c>
      <c r="E168" s="31">
        <f>(SUMPRODUCT($C$132:$H$132,1/(1+E$163)^{1,2,3,4,5,6})+($H$132*(1+$B168)/(E$163-$B168))/(1+E$163)^6-$C$152+$C$153)/$C$155</f>
        <v>1552.0955416125178</v>
      </c>
      <c r="F168" s="31">
        <f>(SUMPRODUCT($C$132:$H$132,1/(1+F$163)^{1,2,3,4,5,6})+($H$132*(1+$B168)/(F$163-$B168))/(1+F$163)^6-$C$152+$C$153)/$C$155</f>
        <v>1322.9629152866162</v>
      </c>
      <c r="G168" s="31">
        <f>(SUMPRODUCT($C$132:$H$132,1/(1+G$163)^{1,2,3,4,5,6})+($H$132*(1+$B168)/(G$163-$B168))/(1+G$163)^6-$C$152+$C$153)/$C$155</f>
        <v>1151.2374404978839</v>
      </c>
      <c r="H168" s="31">
        <f>(SUMPRODUCT($C$132:$H$132,1/(1+H$163)^{1,2,3,4,5,6})+($H$132*(1+$B168)/(H$163-$B168))/(1+H$163)^6-$C$152+$C$153)/$C$155</f>
        <v>1017.7590679934809</v>
      </c>
    </row>
    <row r="171" spans="2:8" ht="19.5" customHeight="1" x14ac:dyDescent="0.4">
      <c r="B171" s="56" t="s">
        <v>124</v>
      </c>
      <c r="C171" s="56"/>
      <c r="D171" s="56"/>
      <c r="E171" s="56"/>
      <c r="F171" s="56"/>
      <c r="G171" s="56"/>
      <c r="H171" s="56"/>
    </row>
    <row r="173" spans="2:8" ht="15" customHeight="1" x14ac:dyDescent="0.35">
      <c r="B173" s="25" t="s">
        <v>125</v>
      </c>
    </row>
    <row r="174" spans="2:8" ht="14.25" customHeight="1" x14ac:dyDescent="0.35">
      <c r="B174" s="26" t="s">
        <v>126</v>
      </c>
    </row>
    <row r="175" spans="2:8" ht="14.25" customHeight="1" x14ac:dyDescent="0.35">
      <c r="B175" s="26" t="s">
        <v>127</v>
      </c>
    </row>
    <row r="176" spans="2:8" ht="14.25" customHeight="1" x14ac:dyDescent="0.35">
      <c r="B176" s="26" t="s">
        <v>128</v>
      </c>
    </row>
    <row r="177" spans="2:8" ht="14.25" customHeight="1" x14ac:dyDescent="0.35">
      <c r="B177" s="26" t="s">
        <v>129</v>
      </c>
    </row>
    <row r="179" spans="2:8" ht="15" customHeight="1" x14ac:dyDescent="0.35">
      <c r="B179" s="25" t="s">
        <v>130</v>
      </c>
    </row>
    <row r="180" spans="2:8" ht="14.25" customHeight="1" x14ac:dyDescent="0.35">
      <c r="B180" s="26" t="s">
        <v>131</v>
      </c>
    </row>
    <row r="181" spans="2:8" ht="14.25" customHeight="1" x14ac:dyDescent="0.35">
      <c r="B181" s="26" t="s">
        <v>132</v>
      </c>
    </row>
    <row r="182" spans="2:8" ht="14.25" customHeight="1" x14ac:dyDescent="0.35">
      <c r="B182" s="26" t="s">
        <v>133</v>
      </c>
    </row>
    <row r="183" spans="2:8" ht="14.25" customHeight="1" x14ac:dyDescent="0.35">
      <c r="B183" s="26" t="s">
        <v>134</v>
      </c>
    </row>
    <row r="184" spans="2:8" ht="14.25" customHeight="1" x14ac:dyDescent="0.35">
      <c r="B184" s="26" t="s">
        <v>135</v>
      </c>
    </row>
    <row r="187" spans="2:8" ht="19.5" customHeight="1" x14ac:dyDescent="0.4">
      <c r="B187" s="56" t="s">
        <v>136</v>
      </c>
      <c r="C187" s="56"/>
      <c r="D187" s="56"/>
      <c r="E187" s="56"/>
      <c r="F187" s="56"/>
      <c r="G187" s="56"/>
      <c r="H187" s="56"/>
    </row>
    <row r="189" spans="2:8" ht="14.25" customHeight="1" x14ac:dyDescent="0.35">
      <c r="B189" s="26" t="s">
        <v>137</v>
      </c>
    </row>
    <row r="190" spans="2:8" ht="14.25" customHeight="1" x14ac:dyDescent="0.35">
      <c r="B190" s="26" t="s">
        <v>138</v>
      </c>
    </row>
    <row r="192" spans="2:8" ht="15" customHeight="1" x14ac:dyDescent="0.35">
      <c r="B192" s="25" t="s">
        <v>139</v>
      </c>
    </row>
    <row r="193" spans="2:2" ht="14.25" customHeight="1" x14ac:dyDescent="0.35">
      <c r="B193" s="26" t="s">
        <v>140</v>
      </c>
    </row>
    <row r="194" spans="2:2" ht="14.25" customHeight="1" x14ac:dyDescent="0.35">
      <c r="B194" s="26" t="s">
        <v>141</v>
      </c>
    </row>
    <row r="195" spans="2:2" ht="14.25" customHeight="1" x14ac:dyDescent="0.35">
      <c r="B195" s="26" t="s">
        <v>142</v>
      </c>
    </row>
    <row r="197" spans="2:2" ht="15" customHeight="1" x14ac:dyDescent="0.35">
      <c r="B197" s="25" t="s">
        <v>143</v>
      </c>
    </row>
    <row r="199" spans="2:2" ht="14.25" customHeight="1" x14ac:dyDescent="0.35">
      <c r="B199" s="26" t="s">
        <v>144</v>
      </c>
    </row>
    <row r="200" spans="2:2" ht="14.25" customHeight="1" x14ac:dyDescent="0.35">
      <c r="B200" s="26" t="s">
        <v>145</v>
      </c>
    </row>
    <row r="201" spans="2:2" ht="14.25" customHeight="1" x14ac:dyDescent="0.35">
      <c r="B201" s="26" t="s">
        <v>146</v>
      </c>
    </row>
    <row r="202" spans="2:2" ht="14.25" customHeight="1" x14ac:dyDescent="0.35">
      <c r="B202" s="26" t="s">
        <v>147</v>
      </c>
    </row>
  </sheetData>
  <mergeCells count="15">
    <mergeCell ref="B130:H130"/>
    <mergeCell ref="B136:H136"/>
    <mergeCell ref="B161:H161"/>
    <mergeCell ref="B171:H171"/>
    <mergeCell ref="B187:H187"/>
    <mergeCell ref="B65:H65"/>
    <mergeCell ref="B81:H81"/>
    <mergeCell ref="B90:H90"/>
    <mergeCell ref="B103:H103"/>
    <mergeCell ref="B123:H123"/>
    <mergeCell ref="B1:K1"/>
    <mergeCell ref="B5:L5"/>
    <mergeCell ref="D26:H26"/>
    <mergeCell ref="B38:H38"/>
    <mergeCell ref="B39:H39"/>
  </mergeCells>
  <dataValidations count="1">
    <dataValidation type="list" allowBlank="1" showInputMessage="1" showErrorMessage="1" sqref="C85" xr:uid="{00000000-0002-0000-0000-000000000000}">
      <formula1>$B$86:$B$88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ignoredErrors>
    <ignoredError sqref="C97:H9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O36"/>
  <sheetViews>
    <sheetView showGridLines="0" zoomScaleNormal="100" workbookViewId="0">
      <selection activeCell="J10" sqref="J10"/>
    </sheetView>
  </sheetViews>
  <sheetFormatPr defaultColWidth="8.6328125" defaultRowHeight="14.5" x14ac:dyDescent="0.35"/>
  <cols>
    <col min="1" max="1" width="2.54296875" customWidth="1"/>
    <col min="2" max="2" width="30" customWidth="1"/>
    <col min="3" max="15" width="14" customWidth="1"/>
  </cols>
  <sheetData>
    <row r="1" spans="2:14" ht="15" customHeight="1" x14ac:dyDescent="0.35">
      <c r="B1" s="57" t="s">
        <v>148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2:14" ht="15" customHeight="1" x14ac:dyDescent="0.35"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14" ht="19.5" customHeight="1" x14ac:dyDescent="0.4"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7" spans="2:14" ht="19.5" customHeight="1" x14ac:dyDescent="0.4">
      <c r="B7" s="56" t="s">
        <v>149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9" spans="2:14" ht="30" customHeight="1" x14ac:dyDescent="0.35">
      <c r="B9" s="35" t="s">
        <v>150</v>
      </c>
      <c r="C9" s="35" t="s">
        <v>151</v>
      </c>
      <c r="D9" s="35" t="s">
        <v>152</v>
      </c>
      <c r="E9" s="35" t="s">
        <v>91</v>
      </c>
      <c r="F9" s="35" t="s">
        <v>33</v>
      </c>
      <c r="G9" s="35" t="s">
        <v>40</v>
      </c>
      <c r="H9" s="35" t="s">
        <v>153</v>
      </c>
      <c r="I9" s="35" t="s">
        <v>154</v>
      </c>
      <c r="J9" s="35" t="s">
        <v>92</v>
      </c>
      <c r="K9" s="35" t="s">
        <v>155</v>
      </c>
      <c r="L9" s="35" t="s">
        <v>156</v>
      </c>
      <c r="M9" s="35" t="s">
        <v>157</v>
      </c>
    </row>
    <row r="10" spans="2:14" ht="15" customHeight="1" x14ac:dyDescent="0.35">
      <c r="B10" s="26" t="s">
        <v>158</v>
      </c>
      <c r="C10" s="26" t="s">
        <v>159</v>
      </c>
      <c r="D10" s="36">
        <f>'Data Sheet'!B8</f>
        <v>2670</v>
      </c>
      <c r="E10" s="37">
        <f>'Data Sheet'!B9</f>
        <v>256105.81</v>
      </c>
      <c r="F10" s="37">
        <f>'DCF Model'!H41</f>
        <v>35583.54</v>
      </c>
      <c r="G10" s="37">
        <f>'DCF Model'!H49</f>
        <v>6699.7300000000032</v>
      </c>
      <c r="H10" s="37">
        <f>'DCF Model'!H62</f>
        <v>5574.8100000000031</v>
      </c>
      <c r="I10" s="38">
        <v>0.87</v>
      </c>
      <c r="J10" s="37">
        <f>'DCF Model'!H69</f>
        <v>3928.93</v>
      </c>
      <c r="K10" s="37">
        <f>'DCF Model'!H77</f>
        <v>1073.68</v>
      </c>
      <c r="L10" s="39">
        <f>(E10+J10-K10)/G10</f>
        <v>38.652462114144882</v>
      </c>
      <c r="M10" s="39">
        <f>E10/H10</f>
        <v>45.939827545692111</v>
      </c>
    </row>
    <row r="11" spans="2:14" ht="15" customHeight="1" x14ac:dyDescent="0.35">
      <c r="B11" s="26" t="s">
        <v>160</v>
      </c>
      <c r="C11" s="26" t="s">
        <v>161</v>
      </c>
      <c r="D11" s="40">
        <v>500</v>
      </c>
      <c r="E11" s="41">
        <v>59046</v>
      </c>
      <c r="F11" s="41">
        <v>11880</v>
      </c>
      <c r="G11" s="41">
        <v>1950</v>
      </c>
      <c r="H11" s="41">
        <v>1128</v>
      </c>
      <c r="I11" s="38">
        <v>0.75</v>
      </c>
      <c r="J11" s="41">
        <v>100</v>
      </c>
      <c r="K11" s="41">
        <v>364</v>
      </c>
      <c r="L11" s="39">
        <f>(E11+J11-K11)/G11</f>
        <v>30.144615384615385</v>
      </c>
      <c r="M11" s="39">
        <f>E11/H11</f>
        <v>52.345744680851062</v>
      </c>
    </row>
    <row r="12" spans="2:14" ht="15" customHeight="1" x14ac:dyDescent="0.35">
      <c r="B12" s="26" t="s">
        <v>162</v>
      </c>
      <c r="C12" s="26" t="s">
        <v>163</v>
      </c>
      <c r="D12" s="40">
        <v>201</v>
      </c>
      <c r="E12" s="41">
        <v>16271</v>
      </c>
      <c r="F12" s="41">
        <v>8052</v>
      </c>
      <c r="G12" s="41">
        <v>1100</v>
      </c>
      <c r="H12" s="41">
        <v>576</v>
      </c>
      <c r="I12" s="38">
        <v>0.75</v>
      </c>
      <c r="J12" s="41">
        <v>276</v>
      </c>
      <c r="K12" s="41">
        <v>1994</v>
      </c>
      <c r="L12" s="39">
        <f>(E12+J12-K12)/G12</f>
        <v>13.23</v>
      </c>
      <c r="M12" s="39">
        <f>E12/H12</f>
        <v>28.248263888888889</v>
      </c>
    </row>
    <row r="13" spans="2:14" ht="15" customHeight="1" x14ac:dyDescent="0.35">
      <c r="B13" s="26" t="s">
        <v>164</v>
      </c>
      <c r="C13" s="26" t="s">
        <v>165</v>
      </c>
      <c r="D13" s="40">
        <v>1067</v>
      </c>
      <c r="E13" s="41">
        <v>5007</v>
      </c>
      <c r="F13" s="41">
        <v>1330</v>
      </c>
      <c r="G13" s="41">
        <v>252</v>
      </c>
      <c r="H13" s="41">
        <v>145</v>
      </c>
      <c r="I13" s="38">
        <v>0.67</v>
      </c>
      <c r="J13" s="41">
        <v>10</v>
      </c>
      <c r="K13" s="41">
        <v>78</v>
      </c>
      <c r="L13" s="39">
        <f>(E13+J13-K13)/G13</f>
        <v>19.599206349206348</v>
      </c>
      <c r="M13" s="39">
        <f>E13/H13</f>
        <v>34.531034482758621</v>
      </c>
    </row>
    <row r="14" spans="2:14" ht="15" customHeight="1" x14ac:dyDescent="0.35">
      <c r="B14" s="26" t="s">
        <v>166</v>
      </c>
      <c r="C14" s="26" t="s">
        <v>167</v>
      </c>
      <c r="D14" s="40">
        <v>3477</v>
      </c>
      <c r="E14" s="41">
        <v>15835</v>
      </c>
      <c r="F14" s="41">
        <v>4091</v>
      </c>
      <c r="G14" s="41">
        <v>530</v>
      </c>
      <c r="H14" s="41">
        <v>429</v>
      </c>
      <c r="I14" s="38">
        <v>0.44</v>
      </c>
      <c r="J14" s="41">
        <v>50</v>
      </c>
      <c r="K14" s="41">
        <v>550</v>
      </c>
      <c r="L14" s="39">
        <f>(E14+J14-K14)/G14</f>
        <v>28.933962264150942</v>
      </c>
      <c r="M14" s="39">
        <f>E14/H14</f>
        <v>36.911421911421911</v>
      </c>
    </row>
    <row r="15" spans="2:14" ht="15" customHeight="1" x14ac:dyDescent="0.35"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7" spans="2:15" ht="19.5" customHeight="1" x14ac:dyDescent="0.4">
      <c r="B17" s="56" t="s">
        <v>168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</row>
    <row r="19" spans="2:15" ht="30" customHeight="1" x14ac:dyDescent="0.35">
      <c r="B19" s="35" t="s">
        <v>169</v>
      </c>
      <c r="C19" s="35" t="s">
        <v>117</v>
      </c>
      <c r="D19" s="35" t="s">
        <v>92</v>
      </c>
      <c r="E19" s="35" t="s">
        <v>93</v>
      </c>
      <c r="F19" s="35" t="s">
        <v>170</v>
      </c>
      <c r="G19" s="35" t="s">
        <v>171</v>
      </c>
      <c r="H19" s="35" t="s">
        <v>172</v>
      </c>
      <c r="I19" s="35" t="s">
        <v>173</v>
      </c>
    </row>
    <row r="20" spans="2:15" ht="15" customHeight="1" x14ac:dyDescent="0.35">
      <c r="B20" s="26" t="str">
        <f>B11</f>
        <v>Berger Paints</v>
      </c>
      <c r="C20" s="42">
        <f>E11</f>
        <v>59046</v>
      </c>
      <c r="D20" s="42">
        <f>J11</f>
        <v>100</v>
      </c>
      <c r="E20" s="7">
        <f>D20/C20</f>
        <v>1.6935948243742168E-3</v>
      </c>
      <c r="F20" s="7">
        <f>D20/(C20+D20)</f>
        <v>1.6907314104081426E-3</v>
      </c>
      <c r="G20" s="7">
        <f>tax_rate</f>
        <v>0.25</v>
      </c>
      <c r="H20" s="28">
        <f>I11</f>
        <v>0.75</v>
      </c>
      <c r="I20" s="28">
        <f>H20/(1+E20*(1-tax_rate))</f>
        <v>0.74904856142487442</v>
      </c>
    </row>
    <row r="21" spans="2:15" ht="15" customHeight="1" x14ac:dyDescent="0.35">
      <c r="B21" s="26" t="str">
        <f>B12</f>
        <v>Kansai Nerolac</v>
      </c>
      <c r="C21" s="42">
        <f>E12</f>
        <v>16271</v>
      </c>
      <c r="D21" s="42">
        <f>J12</f>
        <v>276</v>
      </c>
      <c r="E21" s="7">
        <f>D21/C21</f>
        <v>1.6962694364206256E-2</v>
      </c>
      <c r="F21" s="7">
        <f>D21/(C21+D21)</f>
        <v>1.6679760681694567E-2</v>
      </c>
      <c r="G21" s="7">
        <f>tax_rate</f>
        <v>0.25</v>
      </c>
      <c r="H21" s="28">
        <f>I12</f>
        <v>0.75</v>
      </c>
      <c r="I21" s="28">
        <f>H21/(1+E21*(1-tax_rate))</f>
        <v>0.74057834688675817</v>
      </c>
    </row>
    <row r="22" spans="2:15" ht="15" customHeight="1" x14ac:dyDescent="0.35">
      <c r="B22" s="26" t="str">
        <f>B13</f>
        <v>Indigo Paints</v>
      </c>
      <c r="C22" s="42">
        <f>E13</f>
        <v>5007</v>
      </c>
      <c r="D22" s="42">
        <f>J13</f>
        <v>10</v>
      </c>
      <c r="E22" s="7">
        <f>D22/C22</f>
        <v>1.9972039145196726E-3</v>
      </c>
      <c r="F22" s="7">
        <f>D22/(C22+D22)</f>
        <v>1.9932230416583618E-3</v>
      </c>
      <c r="G22" s="7">
        <f>tax_rate</f>
        <v>0.25</v>
      </c>
      <c r="H22" s="28">
        <f>I13</f>
        <v>0.67</v>
      </c>
      <c r="I22" s="28">
        <f>H22/(1+E22*(1-tax_rate))</f>
        <v>0.66899790607239018</v>
      </c>
    </row>
    <row r="23" spans="2:15" ht="15" customHeight="1" x14ac:dyDescent="0.35">
      <c r="B23" s="26" t="str">
        <f>B14</f>
        <v>Akzo Nobel India</v>
      </c>
      <c r="C23" s="42">
        <f>E14</f>
        <v>15835</v>
      </c>
      <c r="D23" s="42">
        <f>J14</f>
        <v>50</v>
      </c>
      <c r="E23" s="7">
        <f>D23/C23</f>
        <v>3.1575623618566467E-3</v>
      </c>
      <c r="F23" s="7">
        <f>D23/(C23+D23)</f>
        <v>3.1476235442241107E-3</v>
      </c>
      <c r="G23" s="7">
        <f>tax_rate</f>
        <v>0.25</v>
      </c>
      <c r="H23" s="28">
        <f>I14</f>
        <v>0.44</v>
      </c>
      <c r="I23" s="28">
        <f>H23/(1+E23*(1-tax_rate))</f>
        <v>0.43896046621515195</v>
      </c>
    </row>
    <row r="24" spans="2:15" ht="15" customHeight="1" x14ac:dyDescent="0.35">
      <c r="B24" s="29" t="s">
        <v>174</v>
      </c>
      <c r="E24" s="30">
        <f>AVERAGE(E20:E23)</f>
        <v>5.9527638662391982E-3</v>
      </c>
      <c r="F24" s="30">
        <f>AVERAGE(F20:F23)</f>
        <v>5.8778346694962954E-3</v>
      </c>
      <c r="G24" s="30">
        <f>AVERAGE(G20:G23)</f>
        <v>0.25</v>
      </c>
      <c r="H24" s="43">
        <f>AVERAGE(H20:H23)</f>
        <v>0.65249999999999997</v>
      </c>
      <c r="I24" s="43">
        <f>AVERAGE(I20:I23)</f>
        <v>0.64939632014979365</v>
      </c>
    </row>
    <row r="25" spans="2:15" ht="15" customHeight="1" x14ac:dyDescent="0.35">
      <c r="B25" s="29" t="s">
        <v>175</v>
      </c>
      <c r="E25" s="30">
        <f>MEDIAN(E20:E23)</f>
        <v>2.5773831381881596E-3</v>
      </c>
      <c r="F25" s="30">
        <f>MEDIAN(F20:F23)</f>
        <v>2.570423292941236E-3</v>
      </c>
      <c r="G25" s="30">
        <f>MEDIAN(G20:G23)</f>
        <v>0.25</v>
      </c>
      <c r="H25" s="43">
        <f>MEDIAN(H20:H23)</f>
        <v>0.71</v>
      </c>
      <c r="I25" s="43">
        <f>MEDIAN(I20:I23)</f>
        <v>0.70478812647957412</v>
      </c>
    </row>
    <row r="27" spans="2:15" ht="19.5" customHeight="1" x14ac:dyDescent="0.4">
      <c r="B27" s="56" t="s">
        <v>176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9" spans="2:15" ht="15" customHeight="1" x14ac:dyDescent="0.35">
      <c r="B29" s="25" t="s">
        <v>177</v>
      </c>
      <c r="L29" s="25" t="s">
        <v>178</v>
      </c>
      <c r="O29" s="25" t="s">
        <v>179</v>
      </c>
    </row>
    <row r="30" spans="2:15" ht="30" customHeight="1" x14ac:dyDescent="0.35">
      <c r="B30" s="35" t="s">
        <v>169</v>
      </c>
      <c r="C30" s="35" t="s">
        <v>151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5" t="s">
        <v>184</v>
      </c>
      <c r="I30" s="35" t="s">
        <v>185</v>
      </c>
      <c r="J30" s="35" t="s">
        <v>186</v>
      </c>
      <c r="K30" s="35" t="s">
        <v>187</v>
      </c>
      <c r="L30" s="35" t="s">
        <v>188</v>
      </c>
      <c r="M30" s="35" t="s">
        <v>189</v>
      </c>
      <c r="N30" s="35" t="s">
        <v>190</v>
      </c>
      <c r="O30" s="35" t="s">
        <v>191</v>
      </c>
    </row>
    <row r="31" spans="2:15" ht="15" customHeight="1" x14ac:dyDescent="0.35">
      <c r="B31" s="26" t="str">
        <f t="shared" ref="B31:D35" si="0">B10</f>
        <v>Asian Paints</v>
      </c>
      <c r="C31" s="26" t="str">
        <f t="shared" si="0"/>
        <v>ASIANPAINT</v>
      </c>
      <c r="D31" s="44">
        <f t="shared" si="0"/>
        <v>2670</v>
      </c>
      <c r="E31" s="44">
        <f>F31/D31</f>
        <v>95.919779026217228</v>
      </c>
      <c r="F31" s="42">
        <f>E10</f>
        <v>256105.81</v>
      </c>
      <c r="G31" s="42">
        <f t="shared" ref="G31:H35" si="1">J10</f>
        <v>3928.93</v>
      </c>
      <c r="H31" s="42">
        <f t="shared" si="1"/>
        <v>1073.68</v>
      </c>
      <c r="I31" s="42">
        <f>F31+G31-H31</f>
        <v>258961.06</v>
      </c>
      <c r="J31" s="42">
        <f t="shared" ref="J31:L35" si="2">F10</f>
        <v>35583.54</v>
      </c>
      <c r="K31" s="42">
        <f t="shared" si="2"/>
        <v>6699.7300000000032</v>
      </c>
      <c r="L31" s="42">
        <f t="shared" si="2"/>
        <v>5574.8100000000031</v>
      </c>
      <c r="M31" s="39">
        <f>I31/J31</f>
        <v>7.2775519242885895</v>
      </c>
      <c r="N31" s="39">
        <f>I31/K31</f>
        <v>38.652462114144882</v>
      </c>
      <c r="O31" s="39">
        <f>F31/L31</f>
        <v>45.939827545692111</v>
      </c>
    </row>
    <row r="32" spans="2:15" ht="15" customHeight="1" x14ac:dyDescent="0.35">
      <c r="B32" s="26" t="str">
        <f t="shared" si="0"/>
        <v>Berger Paints</v>
      </c>
      <c r="C32" s="26" t="str">
        <f t="shared" si="0"/>
        <v>BERGEPAINT</v>
      </c>
      <c r="D32" s="44">
        <f t="shared" si="0"/>
        <v>500</v>
      </c>
      <c r="E32" s="44">
        <f>F32/D32</f>
        <v>118.092</v>
      </c>
      <c r="F32" s="42">
        <f>E11</f>
        <v>59046</v>
      </c>
      <c r="G32" s="42">
        <f t="shared" si="1"/>
        <v>100</v>
      </c>
      <c r="H32" s="42">
        <f t="shared" si="1"/>
        <v>364</v>
      </c>
      <c r="I32" s="42">
        <f>F32+G32-H32</f>
        <v>58782</v>
      </c>
      <c r="J32" s="42">
        <f t="shared" si="2"/>
        <v>11880</v>
      </c>
      <c r="K32" s="42">
        <f t="shared" si="2"/>
        <v>1950</v>
      </c>
      <c r="L32" s="42">
        <f t="shared" si="2"/>
        <v>1128</v>
      </c>
      <c r="M32" s="39">
        <f>I32/J32</f>
        <v>4.9479797979797979</v>
      </c>
      <c r="N32" s="39">
        <f>I32/K32</f>
        <v>30.144615384615385</v>
      </c>
      <c r="O32" s="39">
        <f>F32/L32</f>
        <v>52.345744680851062</v>
      </c>
    </row>
    <row r="33" spans="2:15" ht="15" customHeight="1" x14ac:dyDescent="0.35">
      <c r="B33" s="26" t="str">
        <f t="shared" si="0"/>
        <v>Kansai Nerolac</v>
      </c>
      <c r="C33" s="26" t="str">
        <f t="shared" si="0"/>
        <v>KANSAINER</v>
      </c>
      <c r="D33" s="44">
        <f t="shared" si="0"/>
        <v>201</v>
      </c>
      <c r="E33" s="44">
        <f>F33/D33</f>
        <v>80.950248756218912</v>
      </c>
      <c r="F33" s="42">
        <f>E12</f>
        <v>16271</v>
      </c>
      <c r="G33" s="42">
        <f t="shared" si="1"/>
        <v>276</v>
      </c>
      <c r="H33" s="42">
        <f t="shared" si="1"/>
        <v>1994</v>
      </c>
      <c r="I33" s="42">
        <f>F33+G33-H33</f>
        <v>14553</v>
      </c>
      <c r="J33" s="42">
        <f t="shared" si="2"/>
        <v>8052</v>
      </c>
      <c r="K33" s="42">
        <f t="shared" si="2"/>
        <v>1100</v>
      </c>
      <c r="L33" s="42">
        <f t="shared" si="2"/>
        <v>576</v>
      </c>
      <c r="M33" s="39">
        <f>I33/J33</f>
        <v>1.8073770491803278</v>
      </c>
      <c r="N33" s="39">
        <f>I33/K33</f>
        <v>13.23</v>
      </c>
      <c r="O33" s="39">
        <f>F33/L33</f>
        <v>28.248263888888889</v>
      </c>
    </row>
    <row r="34" spans="2:15" ht="15" customHeight="1" x14ac:dyDescent="0.35">
      <c r="B34" s="26" t="str">
        <f t="shared" si="0"/>
        <v>Indigo Paints</v>
      </c>
      <c r="C34" s="26" t="str">
        <f t="shared" si="0"/>
        <v>INDIGOPNTS</v>
      </c>
      <c r="D34" s="44">
        <f t="shared" si="0"/>
        <v>1067</v>
      </c>
      <c r="E34" s="44">
        <f>F34/D34</f>
        <v>4.6925960637300843</v>
      </c>
      <c r="F34" s="42">
        <f>E13</f>
        <v>5007</v>
      </c>
      <c r="G34" s="42">
        <f t="shared" si="1"/>
        <v>10</v>
      </c>
      <c r="H34" s="42">
        <f t="shared" si="1"/>
        <v>78</v>
      </c>
      <c r="I34" s="42">
        <f>F34+G34-H34</f>
        <v>4939</v>
      </c>
      <c r="J34" s="42">
        <f t="shared" si="2"/>
        <v>1330</v>
      </c>
      <c r="K34" s="42">
        <f t="shared" si="2"/>
        <v>252</v>
      </c>
      <c r="L34" s="42">
        <f t="shared" si="2"/>
        <v>145</v>
      </c>
      <c r="M34" s="39">
        <f>I34/J34</f>
        <v>3.7135338345864661</v>
      </c>
      <c r="N34" s="39">
        <f>I34/K34</f>
        <v>19.599206349206348</v>
      </c>
      <c r="O34" s="39">
        <f>F34/L34</f>
        <v>34.531034482758621</v>
      </c>
    </row>
    <row r="35" spans="2:15" ht="15" customHeight="1" x14ac:dyDescent="0.35">
      <c r="B35" s="26" t="str">
        <f t="shared" si="0"/>
        <v>Akzo Nobel India</v>
      </c>
      <c r="C35" s="26" t="str">
        <f t="shared" si="0"/>
        <v>AKZOINDIA</v>
      </c>
      <c r="D35" s="44">
        <f t="shared" si="0"/>
        <v>3477</v>
      </c>
      <c r="E35" s="44">
        <f>F35/D35</f>
        <v>4.5542134023583545</v>
      </c>
      <c r="F35" s="42">
        <f>E14</f>
        <v>15835</v>
      </c>
      <c r="G35" s="42">
        <f t="shared" si="1"/>
        <v>50</v>
      </c>
      <c r="H35" s="42">
        <f t="shared" si="1"/>
        <v>550</v>
      </c>
      <c r="I35" s="42">
        <f>F35+G35-H35</f>
        <v>15335</v>
      </c>
      <c r="J35" s="42">
        <f t="shared" si="2"/>
        <v>4091</v>
      </c>
      <c r="K35" s="42">
        <f t="shared" si="2"/>
        <v>530</v>
      </c>
      <c r="L35" s="42">
        <f t="shared" si="2"/>
        <v>429</v>
      </c>
      <c r="M35" s="39">
        <f>I35/J35</f>
        <v>3.7484722561720849</v>
      </c>
      <c r="N35" s="39">
        <f>I35/K35</f>
        <v>28.933962264150942</v>
      </c>
      <c r="O35" s="39">
        <f>F35/L35</f>
        <v>36.911421911421911</v>
      </c>
    </row>
    <row r="36" spans="2:15" ht="15" customHeight="1" x14ac:dyDescent="0.35">
      <c r="B36" s="29" t="s">
        <v>174</v>
      </c>
      <c r="M36" s="45">
        <f>AVERAGE(M31:M35)</f>
        <v>4.2989829724414532</v>
      </c>
      <c r="N36" s="45">
        <f>AVERAGE(N31:N35)</f>
        <v>26.112049222423515</v>
      </c>
      <c r="O36" s="45">
        <f>AVERAGE(O31:O35)</f>
        <v>39.595258501922515</v>
      </c>
    </row>
  </sheetData>
  <mergeCells count="6">
    <mergeCell ref="B27:N27"/>
    <mergeCell ref="B1:N2"/>
    <mergeCell ref="B3:N3"/>
    <mergeCell ref="B7:N7"/>
    <mergeCell ref="B15:N15"/>
    <mergeCell ref="B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K94"/>
  <sheetViews>
    <sheetView zoomScale="120" zoomScaleNormal="120" workbookViewId="0">
      <pane xSplit="1" ySplit="1" topLeftCell="E77" activePane="bottomRight" state="frozen"/>
      <selection pane="topRight" activeCell="E1" sqref="E1"/>
      <selection pane="bottomLeft" activeCell="A77" sqref="A77"/>
      <selection pane="bottomRight" activeCell="F90" sqref="F90"/>
    </sheetView>
  </sheetViews>
  <sheetFormatPr defaultColWidth="8.81640625" defaultRowHeight="14.5" x14ac:dyDescent="0.35"/>
  <cols>
    <col min="1" max="1" width="27.6328125" style="13" customWidth="1"/>
    <col min="2" max="11" width="13.453125" style="13" customWidth="1"/>
    <col min="12" max="16384" width="8.81640625" style="13"/>
  </cols>
  <sheetData>
    <row r="1" spans="1:11" s="10" customFormat="1" ht="14.25" customHeight="1" x14ac:dyDescent="0.35">
      <c r="A1" s="10" t="s">
        <v>192</v>
      </c>
      <c r="B1" s="10" t="s">
        <v>193</v>
      </c>
      <c r="E1" s="60" t="str">
        <f>IF(B2&lt;&gt;B3, "A NEW VERSION OF THE WORKSHEET IS AVAILABLE", "")</f>
        <v/>
      </c>
      <c r="F1" s="60"/>
      <c r="G1" s="60"/>
      <c r="H1" s="60"/>
      <c r="I1" s="60"/>
      <c r="J1" s="60"/>
      <c r="K1" s="60"/>
    </row>
    <row r="2" spans="1:11" ht="14.25" customHeight="1" x14ac:dyDescent="0.35">
      <c r="A2" s="10" t="s">
        <v>194</v>
      </c>
      <c r="B2" s="13">
        <v>2.1</v>
      </c>
      <c r="E2" s="61" t="s">
        <v>195</v>
      </c>
      <c r="F2" s="61"/>
      <c r="G2" s="61"/>
      <c r="H2" s="61"/>
      <c r="I2" s="61"/>
      <c r="J2" s="61"/>
      <c r="K2" s="61"/>
    </row>
    <row r="3" spans="1:11" ht="14.25" customHeight="1" x14ac:dyDescent="0.35">
      <c r="A3" s="10" t="s">
        <v>196</v>
      </c>
      <c r="B3" s="13">
        <v>2.1</v>
      </c>
    </row>
    <row r="4" spans="1:11" ht="14.25" customHeight="1" x14ac:dyDescent="0.35">
      <c r="A4" s="10"/>
    </row>
    <row r="5" spans="1:11" ht="14.25" customHeight="1" x14ac:dyDescent="0.35">
      <c r="A5" s="10" t="s">
        <v>197</v>
      </c>
    </row>
    <row r="6" spans="1:11" ht="14.25" customHeight="1" x14ac:dyDescent="0.35">
      <c r="A6" s="13" t="s">
        <v>198</v>
      </c>
      <c r="B6" s="13">
        <f>IF(B9&gt;0, B9/B8, 0)</f>
        <v>95.919779026217228</v>
      </c>
    </row>
    <row r="7" spans="1:11" ht="14.25" customHeight="1" x14ac:dyDescent="0.35">
      <c r="A7" s="13" t="s">
        <v>199</v>
      </c>
      <c r="B7" s="13">
        <v>1</v>
      </c>
    </row>
    <row r="8" spans="1:11" ht="14.25" customHeight="1" x14ac:dyDescent="0.35">
      <c r="A8" s="13" t="s">
        <v>200</v>
      </c>
      <c r="B8" s="13">
        <v>2670</v>
      </c>
    </row>
    <row r="9" spans="1:11" ht="14.25" customHeight="1" x14ac:dyDescent="0.35">
      <c r="A9" s="13" t="s">
        <v>201</v>
      </c>
      <c r="B9" s="13">
        <v>256105.81</v>
      </c>
    </row>
    <row r="15" spans="1:11" ht="14.25" customHeight="1" x14ac:dyDescent="0.35">
      <c r="A15" s="10" t="s">
        <v>202</v>
      </c>
    </row>
    <row r="16" spans="1:11" s="48" customFormat="1" ht="14.25" customHeight="1" x14ac:dyDescent="0.35">
      <c r="A16" s="46" t="s">
        <v>203</v>
      </c>
      <c r="B16" s="47">
        <v>42825</v>
      </c>
      <c r="C16" s="47">
        <v>43190</v>
      </c>
      <c r="D16" s="47">
        <v>43555</v>
      </c>
      <c r="E16" s="47">
        <v>43921</v>
      </c>
      <c r="F16" s="47">
        <v>44286</v>
      </c>
      <c r="G16" s="47">
        <v>44651</v>
      </c>
      <c r="H16" s="47">
        <v>45016</v>
      </c>
      <c r="I16" s="47">
        <v>45382</v>
      </c>
      <c r="J16" s="47">
        <v>45747</v>
      </c>
      <c r="K16" s="47">
        <v>46112</v>
      </c>
    </row>
    <row r="17" spans="1:11" ht="14.25" customHeight="1" x14ac:dyDescent="0.35">
      <c r="A17" s="13" t="s">
        <v>33</v>
      </c>
      <c r="B17" s="13">
        <v>15061.99</v>
      </c>
      <c r="C17" s="13">
        <v>16824.55</v>
      </c>
      <c r="D17" s="13">
        <v>19240.13</v>
      </c>
      <c r="E17" s="13">
        <v>20211.25</v>
      </c>
      <c r="F17" s="13">
        <v>21712.79</v>
      </c>
      <c r="G17" s="13">
        <v>29101.279999999999</v>
      </c>
      <c r="H17" s="13">
        <v>34488.589999999997</v>
      </c>
      <c r="I17" s="13">
        <v>35494.730000000003</v>
      </c>
      <c r="J17" s="13">
        <v>33905.620000000003</v>
      </c>
      <c r="K17" s="13">
        <v>35583.54</v>
      </c>
    </row>
    <row r="18" spans="1:11" ht="14.25" customHeight="1" x14ac:dyDescent="0.35">
      <c r="A18" s="13" t="s">
        <v>204</v>
      </c>
      <c r="B18" s="13">
        <v>7452.6</v>
      </c>
      <c r="C18" s="13">
        <v>8128.17</v>
      </c>
      <c r="D18" s="13">
        <v>9974.4</v>
      </c>
      <c r="E18" s="13">
        <v>9981.99</v>
      </c>
      <c r="F18" s="13">
        <v>10425.549999999999</v>
      </c>
      <c r="G18" s="13">
        <v>17123.25</v>
      </c>
      <c r="H18" s="13">
        <v>18985.53</v>
      </c>
      <c r="I18" s="13">
        <v>17410.84</v>
      </c>
      <c r="J18" s="13">
        <v>17504.509999999998</v>
      </c>
      <c r="K18" s="13">
        <v>17142.009999999998</v>
      </c>
    </row>
    <row r="19" spans="1:11" ht="14.25" customHeight="1" x14ac:dyDescent="0.35">
      <c r="A19" s="13" t="s">
        <v>205</v>
      </c>
      <c r="B19" s="13">
        <v>528.6</v>
      </c>
      <c r="C19" s="13">
        <v>-142.13</v>
      </c>
      <c r="D19" s="13">
        <v>293.26</v>
      </c>
      <c r="E19" s="13">
        <v>239.15</v>
      </c>
      <c r="F19" s="13">
        <v>92.45</v>
      </c>
      <c r="G19" s="13">
        <v>1324.97</v>
      </c>
      <c r="H19" s="13">
        <v>309.73</v>
      </c>
      <c r="I19" s="13">
        <v>-363.8</v>
      </c>
      <c r="J19" s="13">
        <v>205</v>
      </c>
      <c r="K19" s="13">
        <v>-603.67999999999995</v>
      </c>
    </row>
    <row r="20" spans="1:11" ht="14.25" customHeight="1" x14ac:dyDescent="0.35">
      <c r="A20" s="13" t="s">
        <v>206</v>
      </c>
      <c r="B20" s="13">
        <v>106.02</v>
      </c>
      <c r="C20" s="13">
        <v>110.3</v>
      </c>
      <c r="D20" s="13">
        <v>119.63</v>
      </c>
      <c r="E20" s="13">
        <v>97.79</v>
      </c>
      <c r="F20" s="13">
        <v>86.05</v>
      </c>
      <c r="G20" s="13">
        <v>117.23</v>
      </c>
      <c r="H20" s="13">
        <v>138.29</v>
      </c>
      <c r="I20" s="13">
        <v>133.25</v>
      </c>
      <c r="J20" s="13">
        <v>148.58000000000001</v>
      </c>
      <c r="K20" s="13">
        <v>167.1</v>
      </c>
    </row>
    <row r="21" spans="1:11" ht="14.25" customHeight="1" x14ac:dyDescent="0.35">
      <c r="A21" s="13" t="s">
        <v>207</v>
      </c>
      <c r="B21" s="13">
        <v>1662.75</v>
      </c>
      <c r="C21" s="13">
        <v>1691.68</v>
      </c>
      <c r="D21" s="13">
        <v>1862.35</v>
      </c>
      <c r="E21" s="13">
        <v>1946.12</v>
      </c>
      <c r="F21" s="13">
        <v>2068.31</v>
      </c>
      <c r="G21" s="13">
        <v>2880.45</v>
      </c>
      <c r="H21" s="13">
        <v>2916.2</v>
      </c>
      <c r="I21" s="13">
        <v>2767.18</v>
      </c>
      <c r="J21" s="13">
        <v>2687.4</v>
      </c>
      <c r="K21" s="13">
        <v>2767.11</v>
      </c>
    </row>
    <row r="22" spans="1:11" ht="14.25" customHeight="1" x14ac:dyDescent="0.35">
      <c r="A22" s="13" t="s">
        <v>208</v>
      </c>
      <c r="B22" s="13">
        <v>1039.8900000000001</v>
      </c>
      <c r="C22" s="13">
        <v>1121.8900000000001</v>
      </c>
      <c r="D22" s="13">
        <v>1242.69</v>
      </c>
      <c r="E22" s="13">
        <v>1371.27</v>
      </c>
      <c r="F22" s="13">
        <v>1547.61</v>
      </c>
      <c r="G22" s="13">
        <v>1794.61</v>
      </c>
      <c r="H22" s="13">
        <v>2036.41</v>
      </c>
      <c r="I22" s="13">
        <v>2334.92</v>
      </c>
      <c r="J22" s="13">
        <v>2605.7800000000002</v>
      </c>
      <c r="K22" s="13">
        <v>2809.73</v>
      </c>
    </row>
    <row r="23" spans="1:11" ht="14.25" customHeight="1" x14ac:dyDescent="0.35">
      <c r="A23" s="13" t="s">
        <v>209</v>
      </c>
      <c r="B23" s="13">
        <v>4364.04</v>
      </c>
      <c r="C23" s="13">
        <v>2254.92</v>
      </c>
      <c r="D23" s="13">
        <v>2366.87</v>
      </c>
      <c r="E23" s="13">
        <v>2311.5100000000002</v>
      </c>
      <c r="F23" s="13">
        <v>2245.69</v>
      </c>
      <c r="G23" s="13">
        <v>2941.98</v>
      </c>
      <c r="H23" s="13">
        <v>3500.84</v>
      </c>
      <c r="I23" s="13">
        <v>3811.86</v>
      </c>
      <c r="J23" s="13">
        <v>3874.94</v>
      </c>
      <c r="K23" s="13">
        <v>4112.07</v>
      </c>
    </row>
    <row r="24" spans="1:11" ht="14.25" customHeight="1" x14ac:dyDescent="0.35">
      <c r="A24" s="13" t="s">
        <v>210</v>
      </c>
      <c r="B24" s="13">
        <v>-2028.47</v>
      </c>
      <c r="C24" s="13">
        <v>171.45</v>
      </c>
      <c r="D24" s="13">
        <v>202.51</v>
      </c>
      <c r="E24" s="13">
        <v>579.95000000000005</v>
      </c>
      <c r="F24" s="13">
        <v>576.42999999999995</v>
      </c>
      <c r="G24" s="13">
        <v>765.12</v>
      </c>
      <c r="H24" s="13">
        <v>961.21</v>
      </c>
      <c r="I24" s="13">
        <v>1087.9000000000001</v>
      </c>
      <c r="J24" s="13">
        <v>1283.2</v>
      </c>
      <c r="K24" s="13">
        <v>1282.1099999999999</v>
      </c>
    </row>
    <row r="25" spans="1:11" ht="14.25" customHeight="1" x14ac:dyDescent="0.35">
      <c r="A25" s="13" t="s">
        <v>44</v>
      </c>
      <c r="B25" s="13">
        <v>337.9</v>
      </c>
      <c r="C25" s="13">
        <v>336.41</v>
      </c>
      <c r="D25" s="13">
        <v>273.77</v>
      </c>
      <c r="E25" s="13">
        <v>350.1</v>
      </c>
      <c r="F25" s="13">
        <v>331.65</v>
      </c>
      <c r="G25" s="13">
        <v>295.88</v>
      </c>
      <c r="H25" s="13">
        <v>431.46</v>
      </c>
      <c r="I25" s="13">
        <v>820.96</v>
      </c>
      <c r="J25" s="13">
        <v>350.22</v>
      </c>
      <c r="K25" s="13">
        <v>727.97</v>
      </c>
    </row>
    <row r="26" spans="1:11" ht="14.25" customHeight="1" x14ac:dyDescent="0.35">
      <c r="A26" s="13" t="s">
        <v>41</v>
      </c>
      <c r="B26" s="13">
        <v>334.79</v>
      </c>
      <c r="C26" s="13">
        <v>360.47</v>
      </c>
      <c r="D26" s="13">
        <v>622.14</v>
      </c>
      <c r="E26" s="13">
        <v>780.5</v>
      </c>
      <c r="F26" s="13">
        <v>791.27</v>
      </c>
      <c r="G26" s="13">
        <v>816.36</v>
      </c>
      <c r="H26" s="13">
        <v>858.02</v>
      </c>
      <c r="I26" s="13">
        <v>853</v>
      </c>
      <c r="J26" s="13">
        <v>1026.3399999999999</v>
      </c>
      <c r="K26" s="13">
        <v>1228.8499999999999</v>
      </c>
    </row>
    <row r="27" spans="1:11" ht="14.25" customHeight="1" x14ac:dyDescent="0.35">
      <c r="A27" s="13" t="s">
        <v>45</v>
      </c>
      <c r="B27" s="13">
        <v>37.33</v>
      </c>
      <c r="C27" s="13">
        <v>41.47</v>
      </c>
      <c r="D27" s="13">
        <v>110.47</v>
      </c>
      <c r="E27" s="13">
        <v>102.33</v>
      </c>
      <c r="F27" s="13">
        <v>91.63</v>
      </c>
      <c r="G27" s="13">
        <v>95.41</v>
      </c>
      <c r="H27" s="13">
        <v>144.44999999999999</v>
      </c>
      <c r="I27" s="13">
        <v>205.17</v>
      </c>
      <c r="J27" s="13">
        <v>227.02</v>
      </c>
      <c r="K27" s="13">
        <v>195.41</v>
      </c>
    </row>
    <row r="28" spans="1:11" ht="14.25" customHeight="1" x14ac:dyDescent="0.35">
      <c r="A28" s="13" t="s">
        <v>47</v>
      </c>
      <c r="B28" s="13">
        <v>2959.54</v>
      </c>
      <c r="C28" s="13">
        <v>3138.48</v>
      </c>
      <c r="D28" s="13">
        <v>3306.1</v>
      </c>
      <c r="E28" s="13">
        <v>3629.04</v>
      </c>
      <c r="F28" s="13">
        <v>4304.3500000000004</v>
      </c>
      <c r="G28" s="13">
        <v>4187.72</v>
      </c>
      <c r="H28" s="13">
        <v>5688.83</v>
      </c>
      <c r="I28" s="13">
        <v>7347.77</v>
      </c>
      <c r="J28" s="13">
        <v>5103.07</v>
      </c>
      <c r="K28" s="13">
        <v>6003.44</v>
      </c>
    </row>
    <row r="29" spans="1:11" ht="14.25" customHeight="1" x14ac:dyDescent="0.35">
      <c r="A29" s="13" t="s">
        <v>48</v>
      </c>
      <c r="B29" s="13">
        <v>943.29</v>
      </c>
      <c r="C29" s="13">
        <v>1040.96</v>
      </c>
      <c r="D29" s="13">
        <v>1098.06</v>
      </c>
      <c r="E29" s="13">
        <v>854.85</v>
      </c>
      <c r="F29" s="13">
        <v>1097.5999999999999</v>
      </c>
      <c r="G29" s="13">
        <v>1102.9100000000001</v>
      </c>
      <c r="H29" s="13">
        <v>1493.5</v>
      </c>
      <c r="I29" s="13">
        <v>1790.08</v>
      </c>
      <c r="J29" s="13">
        <v>1393.36</v>
      </c>
      <c r="K29" s="13">
        <v>1608.75</v>
      </c>
    </row>
    <row r="30" spans="1:11" ht="14.25" customHeight="1" x14ac:dyDescent="0.35">
      <c r="A30" s="13" t="s">
        <v>50</v>
      </c>
      <c r="B30" s="13">
        <v>1939.43</v>
      </c>
      <c r="C30" s="13">
        <v>2038.93</v>
      </c>
      <c r="D30" s="13">
        <v>2155.92</v>
      </c>
      <c r="E30" s="13">
        <v>2705.17</v>
      </c>
      <c r="F30" s="13">
        <v>3139.29</v>
      </c>
      <c r="G30" s="13">
        <v>3030.57</v>
      </c>
      <c r="H30" s="13">
        <v>4106.45</v>
      </c>
      <c r="I30" s="13">
        <v>5460.23</v>
      </c>
      <c r="J30" s="13">
        <v>3667.23</v>
      </c>
      <c r="K30" s="13">
        <v>4325.3500000000004</v>
      </c>
    </row>
    <row r="31" spans="1:11" ht="14.25" customHeight="1" x14ac:dyDescent="0.35">
      <c r="A31" s="13" t="s">
        <v>211</v>
      </c>
      <c r="B31" s="13">
        <v>987.98</v>
      </c>
      <c r="C31" s="13">
        <v>834.5</v>
      </c>
      <c r="D31" s="13">
        <v>1007.16</v>
      </c>
      <c r="E31" s="13">
        <v>1151.04</v>
      </c>
      <c r="F31" s="13">
        <v>1712.17</v>
      </c>
      <c r="G31" s="13">
        <v>1836.87</v>
      </c>
      <c r="H31" s="13">
        <v>2460.35</v>
      </c>
      <c r="I31" s="13">
        <v>3194.14</v>
      </c>
      <c r="J31" s="13">
        <v>2378.8200000000002</v>
      </c>
      <c r="K31" s="13">
        <v>2637.8</v>
      </c>
    </row>
    <row r="40" spans="1:11" ht="14.25" customHeight="1" x14ac:dyDescent="0.35">
      <c r="A40" s="10" t="s">
        <v>212</v>
      </c>
    </row>
    <row r="41" spans="1:11" s="48" customFormat="1" ht="14.25" customHeight="1" x14ac:dyDescent="0.35">
      <c r="A41" s="46" t="s">
        <v>203</v>
      </c>
      <c r="B41" s="47">
        <v>45291</v>
      </c>
      <c r="C41" s="47">
        <v>45382</v>
      </c>
      <c r="D41" s="47">
        <v>45473</v>
      </c>
      <c r="E41" s="47">
        <v>45565</v>
      </c>
      <c r="F41" s="47">
        <v>45657</v>
      </c>
      <c r="G41" s="47">
        <v>45747</v>
      </c>
      <c r="H41" s="47">
        <v>45838</v>
      </c>
      <c r="I41" s="47">
        <v>45930</v>
      </c>
      <c r="J41" s="47">
        <v>46022</v>
      </c>
      <c r="K41" s="47">
        <v>46112</v>
      </c>
    </row>
    <row r="42" spans="1:11" ht="14.25" customHeight="1" x14ac:dyDescent="0.35">
      <c r="A42" s="13" t="s">
        <v>33</v>
      </c>
      <c r="B42" s="13">
        <v>9103.09</v>
      </c>
      <c r="C42" s="13">
        <v>8730.76</v>
      </c>
      <c r="D42" s="13">
        <v>8969.73</v>
      </c>
      <c r="E42" s="13">
        <v>8027.54</v>
      </c>
      <c r="F42" s="13">
        <v>8549.44</v>
      </c>
      <c r="G42" s="13">
        <v>8358.91</v>
      </c>
      <c r="H42" s="13">
        <v>8938.5499999999993</v>
      </c>
      <c r="I42" s="13">
        <v>8531.27</v>
      </c>
      <c r="J42" s="13">
        <v>8867.02</v>
      </c>
      <c r="K42" s="13">
        <v>9246.7000000000007</v>
      </c>
    </row>
    <row r="43" spans="1:11" ht="14.25" customHeight="1" x14ac:dyDescent="0.35">
      <c r="A43" s="13" t="s">
        <v>213</v>
      </c>
      <c r="B43" s="13">
        <v>7047</v>
      </c>
      <c r="C43" s="13">
        <v>7039.39</v>
      </c>
      <c r="D43" s="13">
        <v>7275.96</v>
      </c>
      <c r="E43" s="13">
        <v>6788.03</v>
      </c>
      <c r="F43" s="13">
        <v>6912.71</v>
      </c>
      <c r="G43" s="13">
        <v>6922.71</v>
      </c>
      <c r="H43" s="13">
        <v>7313.58</v>
      </c>
      <c r="I43" s="13">
        <v>7027.89</v>
      </c>
      <c r="J43" s="13">
        <v>7086.06</v>
      </c>
      <c r="K43" s="13">
        <v>7460.09</v>
      </c>
    </row>
    <row r="44" spans="1:11" ht="14.25" customHeight="1" x14ac:dyDescent="0.35">
      <c r="A44" s="13" t="s">
        <v>44</v>
      </c>
      <c r="B44" s="13">
        <v>186.46</v>
      </c>
      <c r="C44" s="13">
        <v>212.43</v>
      </c>
      <c r="D44" s="13">
        <v>192.93</v>
      </c>
      <c r="E44" s="13">
        <v>24.53</v>
      </c>
      <c r="F44" s="13">
        <v>192.82</v>
      </c>
      <c r="G44" s="13">
        <v>-60.06</v>
      </c>
      <c r="H44" s="13">
        <v>229.11</v>
      </c>
      <c r="I44" s="13">
        <v>236.94</v>
      </c>
      <c r="J44" s="13">
        <v>69.14</v>
      </c>
      <c r="K44" s="13">
        <v>196.59</v>
      </c>
    </row>
    <row r="45" spans="1:11" ht="14.25" customHeight="1" x14ac:dyDescent="0.35">
      <c r="A45" s="13" t="s">
        <v>41</v>
      </c>
      <c r="B45" s="13">
        <v>220.35</v>
      </c>
      <c r="C45" s="13">
        <v>225.61</v>
      </c>
      <c r="D45" s="13">
        <v>227.7</v>
      </c>
      <c r="E45" s="13">
        <v>241.99</v>
      </c>
      <c r="F45" s="13">
        <v>255.55</v>
      </c>
      <c r="G45" s="13">
        <v>301.10000000000002</v>
      </c>
      <c r="H45" s="13">
        <v>300.87</v>
      </c>
      <c r="I45" s="13">
        <v>304.93</v>
      </c>
      <c r="J45" s="13">
        <v>313.07</v>
      </c>
      <c r="K45" s="13">
        <v>309.98</v>
      </c>
    </row>
    <row r="46" spans="1:11" ht="14.25" customHeight="1" x14ac:dyDescent="0.35">
      <c r="A46" s="13" t="s">
        <v>45</v>
      </c>
      <c r="B46" s="13">
        <v>54.42</v>
      </c>
      <c r="C46" s="13">
        <v>54.1</v>
      </c>
      <c r="D46" s="13">
        <v>55.38</v>
      </c>
      <c r="E46" s="13">
        <v>63.01</v>
      </c>
      <c r="F46" s="13">
        <v>55.84</v>
      </c>
      <c r="G46" s="13">
        <v>52.79</v>
      </c>
      <c r="H46" s="13">
        <v>44.5</v>
      </c>
      <c r="I46" s="13">
        <v>43.87</v>
      </c>
      <c r="J46" s="13">
        <v>47.94</v>
      </c>
      <c r="K46" s="13">
        <v>59.1</v>
      </c>
    </row>
    <row r="47" spans="1:11" ht="14.25" customHeight="1" x14ac:dyDescent="0.35">
      <c r="A47" s="13" t="s">
        <v>47</v>
      </c>
      <c r="B47" s="13">
        <v>1967.78</v>
      </c>
      <c r="C47" s="13">
        <v>1624.09</v>
      </c>
      <c r="D47" s="13">
        <v>1603.62</v>
      </c>
      <c r="E47" s="13">
        <v>959.04</v>
      </c>
      <c r="F47" s="13">
        <v>1518.16</v>
      </c>
      <c r="G47" s="13">
        <v>1022.25</v>
      </c>
      <c r="H47" s="13">
        <v>1508.71</v>
      </c>
      <c r="I47" s="13">
        <v>1391.52</v>
      </c>
      <c r="J47" s="13">
        <v>1489.09</v>
      </c>
      <c r="K47" s="13">
        <v>1614.12</v>
      </c>
    </row>
    <row r="48" spans="1:11" ht="14.25" customHeight="1" x14ac:dyDescent="0.35">
      <c r="A48" s="13" t="s">
        <v>48</v>
      </c>
      <c r="B48" s="13">
        <v>492.62</v>
      </c>
      <c r="C48" s="13">
        <v>348.79</v>
      </c>
      <c r="D48" s="13">
        <v>416.83</v>
      </c>
      <c r="E48" s="13">
        <v>265.38</v>
      </c>
      <c r="F48" s="13">
        <v>389.73</v>
      </c>
      <c r="G48" s="13">
        <v>321.42</v>
      </c>
      <c r="H48" s="13">
        <v>391.66</v>
      </c>
      <c r="I48" s="13">
        <v>373.29</v>
      </c>
      <c r="J48" s="13">
        <v>415.17</v>
      </c>
      <c r="K48" s="13">
        <v>428.63</v>
      </c>
    </row>
    <row r="49" spans="1:11" ht="14.25" customHeight="1" x14ac:dyDescent="0.35">
      <c r="A49" s="13" t="s">
        <v>50</v>
      </c>
      <c r="B49" s="13">
        <v>1447.72</v>
      </c>
      <c r="C49" s="13">
        <v>1256.72</v>
      </c>
      <c r="D49" s="13">
        <v>1169.98</v>
      </c>
      <c r="E49" s="13">
        <v>694.64</v>
      </c>
      <c r="F49" s="13">
        <v>1110.48</v>
      </c>
      <c r="G49" s="13">
        <v>692.13</v>
      </c>
      <c r="H49" s="13">
        <v>1099.77</v>
      </c>
      <c r="I49" s="13">
        <v>993.59</v>
      </c>
      <c r="J49" s="13">
        <v>1059.8699999999999</v>
      </c>
      <c r="K49" s="13">
        <v>1172.1199999999999</v>
      </c>
    </row>
    <row r="50" spans="1:11" ht="14.25" customHeight="1" x14ac:dyDescent="0.35">
      <c r="A50" s="13" t="s">
        <v>214</v>
      </c>
      <c r="B50" s="13">
        <v>2056.09</v>
      </c>
      <c r="C50" s="13">
        <v>1691.37</v>
      </c>
      <c r="D50" s="13">
        <v>1693.77</v>
      </c>
      <c r="E50" s="13">
        <v>1239.51</v>
      </c>
      <c r="F50" s="13">
        <v>1636.73</v>
      </c>
      <c r="G50" s="13">
        <v>1436.2</v>
      </c>
      <c r="H50" s="13">
        <v>1624.97</v>
      </c>
      <c r="I50" s="13">
        <v>1503.38</v>
      </c>
      <c r="J50" s="13">
        <v>1780.96</v>
      </c>
      <c r="K50" s="13">
        <v>1786.61</v>
      </c>
    </row>
    <row r="55" spans="1:11" ht="14.25" customHeight="1" x14ac:dyDescent="0.35">
      <c r="A55" s="10" t="s">
        <v>51</v>
      </c>
    </row>
    <row r="56" spans="1:11" s="48" customFormat="1" ht="14.25" customHeight="1" x14ac:dyDescent="0.35">
      <c r="A56" s="46" t="s">
        <v>203</v>
      </c>
      <c r="B56" s="47">
        <v>42825</v>
      </c>
      <c r="C56" s="47">
        <v>43190</v>
      </c>
      <c r="D56" s="47">
        <v>43555</v>
      </c>
      <c r="E56" s="47">
        <v>43921</v>
      </c>
      <c r="F56" s="47">
        <v>44286</v>
      </c>
      <c r="G56" s="47">
        <v>44651</v>
      </c>
      <c r="H56" s="47">
        <v>45016</v>
      </c>
      <c r="I56" s="47">
        <v>45382</v>
      </c>
      <c r="J56" s="47">
        <v>45747</v>
      </c>
      <c r="K56" s="47">
        <v>46112</v>
      </c>
    </row>
    <row r="57" spans="1:11" ht="14.25" customHeight="1" x14ac:dyDescent="0.35">
      <c r="A57" s="13" t="s">
        <v>52</v>
      </c>
      <c r="B57" s="13">
        <v>95.92</v>
      </c>
      <c r="C57" s="13">
        <v>95.92</v>
      </c>
      <c r="D57" s="13">
        <v>95.92</v>
      </c>
      <c r="E57" s="13">
        <v>95.92</v>
      </c>
      <c r="F57" s="13">
        <v>95.92</v>
      </c>
      <c r="G57" s="13">
        <v>95.92</v>
      </c>
      <c r="H57" s="13">
        <v>95.92</v>
      </c>
      <c r="I57" s="13">
        <v>95.92</v>
      </c>
      <c r="J57" s="13">
        <v>95.92</v>
      </c>
      <c r="K57" s="13">
        <v>95.92</v>
      </c>
    </row>
    <row r="58" spans="1:11" ht="14.25" customHeight="1" x14ac:dyDescent="0.35">
      <c r="A58" s="13" t="s">
        <v>215</v>
      </c>
      <c r="B58" s="13">
        <v>7507.97</v>
      </c>
      <c r="C58" s="13">
        <v>8314.31</v>
      </c>
      <c r="D58" s="13">
        <v>9374.6299999999992</v>
      </c>
      <c r="E58" s="13">
        <v>10034.24</v>
      </c>
      <c r="F58" s="13">
        <v>12710.37</v>
      </c>
      <c r="G58" s="13">
        <v>13715.64</v>
      </c>
      <c r="H58" s="13">
        <v>15896.31</v>
      </c>
      <c r="I58" s="13">
        <v>18632.38</v>
      </c>
      <c r="J58" s="13">
        <v>19303.89</v>
      </c>
      <c r="K58" s="13">
        <v>21275.67</v>
      </c>
    </row>
    <row r="59" spans="1:11" ht="14.25" customHeight="1" x14ac:dyDescent="0.35">
      <c r="A59" s="13" t="s">
        <v>54</v>
      </c>
      <c r="B59" s="13">
        <v>560.34</v>
      </c>
      <c r="C59" s="13">
        <v>533.42999999999995</v>
      </c>
      <c r="D59" s="13">
        <v>1319.6</v>
      </c>
      <c r="E59" s="13">
        <v>1118.5</v>
      </c>
      <c r="F59" s="13">
        <v>1093.1199999999999</v>
      </c>
      <c r="G59" s="13">
        <v>1586.88</v>
      </c>
      <c r="H59" s="13">
        <v>1932.62</v>
      </c>
      <c r="I59" s="13">
        <v>2474.38</v>
      </c>
      <c r="J59" s="13">
        <v>2290.29</v>
      </c>
      <c r="K59" s="13">
        <v>3928.93</v>
      </c>
    </row>
    <row r="60" spans="1:11" ht="14.25" customHeight="1" x14ac:dyDescent="0.35">
      <c r="A60" s="13" t="s">
        <v>55</v>
      </c>
      <c r="B60" s="13">
        <v>4240.96</v>
      </c>
      <c r="C60" s="13">
        <v>4819.82</v>
      </c>
      <c r="D60" s="13">
        <v>5458.69</v>
      </c>
      <c r="E60" s="13">
        <v>4889.3100000000004</v>
      </c>
      <c r="F60" s="13">
        <v>6455.93</v>
      </c>
      <c r="G60" s="13">
        <v>7559.99</v>
      </c>
      <c r="H60" s="13">
        <v>7854.48</v>
      </c>
      <c r="I60" s="13">
        <v>8698.09</v>
      </c>
      <c r="J60" s="13">
        <v>8665.15</v>
      </c>
      <c r="K60" s="13">
        <v>9218.23</v>
      </c>
    </row>
    <row r="61" spans="1:11" s="10" customFormat="1" ht="14.25" customHeight="1" x14ac:dyDescent="0.35">
      <c r="A61" s="10" t="s">
        <v>56</v>
      </c>
      <c r="B61" s="10">
        <v>12405.19</v>
      </c>
      <c r="C61" s="10">
        <v>13763.48</v>
      </c>
      <c r="D61" s="10">
        <v>16248.84</v>
      </c>
      <c r="E61" s="10">
        <v>16137.97</v>
      </c>
      <c r="F61" s="10">
        <v>20355.34</v>
      </c>
      <c r="G61" s="10">
        <v>22958.43</v>
      </c>
      <c r="H61" s="10">
        <v>25779.33</v>
      </c>
      <c r="I61" s="10">
        <v>29900.77</v>
      </c>
      <c r="J61" s="10">
        <v>30355.25</v>
      </c>
      <c r="K61" s="10">
        <v>34518.75</v>
      </c>
    </row>
    <row r="62" spans="1:11" ht="14.25" customHeight="1" x14ac:dyDescent="0.35">
      <c r="A62" s="13" t="s">
        <v>57</v>
      </c>
      <c r="B62" s="13">
        <v>3303.74</v>
      </c>
      <c r="C62" s="13">
        <v>3732.24</v>
      </c>
      <c r="D62" s="13">
        <v>6496.56</v>
      </c>
      <c r="E62" s="13">
        <v>6272.31</v>
      </c>
      <c r="F62" s="13">
        <v>5858.52</v>
      </c>
      <c r="G62" s="13">
        <v>5519.06</v>
      </c>
      <c r="H62" s="13">
        <v>5770.46</v>
      </c>
      <c r="I62" s="13">
        <v>7146.62</v>
      </c>
      <c r="J62" s="13">
        <v>9220.1</v>
      </c>
      <c r="K62" s="13">
        <v>9640.2800000000007</v>
      </c>
    </row>
    <row r="63" spans="1:11" ht="14.25" customHeight="1" x14ac:dyDescent="0.35">
      <c r="A63" s="13" t="s">
        <v>58</v>
      </c>
      <c r="B63" s="13">
        <v>257.54000000000002</v>
      </c>
      <c r="C63" s="13">
        <v>1405.11</v>
      </c>
      <c r="D63" s="13">
        <v>209.67</v>
      </c>
      <c r="E63" s="13">
        <v>140.24</v>
      </c>
      <c r="F63" s="13">
        <v>182.98</v>
      </c>
      <c r="G63" s="13">
        <v>426.43</v>
      </c>
      <c r="H63" s="13">
        <v>1019.59</v>
      </c>
      <c r="I63" s="13">
        <v>2698.37</v>
      </c>
      <c r="J63" s="13">
        <v>1254.49</v>
      </c>
      <c r="K63" s="13">
        <v>1848.67</v>
      </c>
    </row>
    <row r="64" spans="1:11" ht="14.25" customHeight="1" x14ac:dyDescent="0.35">
      <c r="A64" s="13" t="s">
        <v>59</v>
      </c>
      <c r="B64" s="13">
        <v>2651.99</v>
      </c>
      <c r="C64" s="13">
        <v>2140.6999999999998</v>
      </c>
      <c r="D64" s="13">
        <v>2568.58</v>
      </c>
      <c r="E64" s="13">
        <v>2018.85</v>
      </c>
      <c r="F64" s="13">
        <v>4736.8</v>
      </c>
      <c r="G64" s="13">
        <v>3247.53</v>
      </c>
      <c r="H64" s="13">
        <v>4261.71</v>
      </c>
      <c r="I64" s="13">
        <v>4587.92</v>
      </c>
      <c r="J64" s="13">
        <v>4724.75</v>
      </c>
      <c r="K64" s="13">
        <v>7061.74</v>
      </c>
    </row>
    <row r="65" spans="1:11" ht="14.25" customHeight="1" x14ac:dyDescent="0.35">
      <c r="A65" s="13" t="s">
        <v>63</v>
      </c>
      <c r="B65" s="13">
        <v>6191.92</v>
      </c>
      <c r="C65" s="13">
        <v>6485.43</v>
      </c>
      <c r="D65" s="13">
        <v>6974.03</v>
      </c>
      <c r="E65" s="13">
        <v>7706.57</v>
      </c>
      <c r="F65" s="13">
        <v>9577.0400000000009</v>
      </c>
      <c r="G65" s="13">
        <v>13765.41</v>
      </c>
      <c r="H65" s="13">
        <v>14727.57</v>
      </c>
      <c r="I65" s="13">
        <v>15467.86</v>
      </c>
      <c r="J65" s="13">
        <v>15155.91</v>
      </c>
      <c r="K65" s="13">
        <v>15968.06</v>
      </c>
    </row>
    <row r="66" spans="1:11" s="10" customFormat="1" ht="14.25" customHeight="1" x14ac:dyDescent="0.35">
      <c r="A66" s="10" t="s">
        <v>56</v>
      </c>
      <c r="B66" s="10">
        <v>12405.19</v>
      </c>
      <c r="C66" s="10">
        <v>13763.48</v>
      </c>
      <c r="D66" s="10">
        <v>16248.84</v>
      </c>
      <c r="E66" s="10">
        <v>16137.97</v>
      </c>
      <c r="F66" s="10">
        <v>20355.34</v>
      </c>
      <c r="G66" s="10">
        <v>22958.43</v>
      </c>
      <c r="H66" s="10">
        <v>25779.33</v>
      </c>
      <c r="I66" s="10">
        <v>29900.77</v>
      </c>
      <c r="J66" s="10">
        <v>30355.25</v>
      </c>
      <c r="K66" s="10">
        <v>34518.75</v>
      </c>
    </row>
    <row r="67" spans="1:11" ht="14.25" customHeight="1" x14ac:dyDescent="0.35">
      <c r="A67" s="13" t="s">
        <v>60</v>
      </c>
      <c r="B67" s="13">
        <v>1446.6</v>
      </c>
      <c r="C67" s="13">
        <v>1730.63</v>
      </c>
      <c r="D67" s="13">
        <v>1907.33</v>
      </c>
      <c r="E67" s="13">
        <v>1795.22</v>
      </c>
      <c r="F67" s="13">
        <v>2602.17</v>
      </c>
      <c r="G67" s="13">
        <v>3871.44</v>
      </c>
      <c r="H67" s="13">
        <v>4636.9399999999996</v>
      </c>
      <c r="I67" s="13">
        <v>4889.05</v>
      </c>
      <c r="J67" s="13">
        <v>4313.6499999999996</v>
      </c>
      <c r="K67" s="13">
        <v>4461.8</v>
      </c>
    </row>
    <row r="68" spans="1:11" ht="14.25" customHeight="1" x14ac:dyDescent="0.35">
      <c r="A68" s="13" t="s">
        <v>61</v>
      </c>
      <c r="B68" s="13">
        <v>2626.94</v>
      </c>
      <c r="C68" s="13">
        <v>2658.31</v>
      </c>
      <c r="D68" s="13">
        <v>3149.86</v>
      </c>
      <c r="E68" s="13">
        <v>3389.81</v>
      </c>
      <c r="F68" s="13">
        <v>3798.6</v>
      </c>
      <c r="G68" s="13">
        <v>6152.98</v>
      </c>
      <c r="H68" s="13">
        <v>6210.64</v>
      </c>
      <c r="I68" s="13">
        <v>5923.41</v>
      </c>
      <c r="J68" s="13">
        <v>6719.27</v>
      </c>
      <c r="K68" s="13">
        <v>5743.69</v>
      </c>
    </row>
    <row r="69" spans="1:11" ht="14.25" customHeight="1" x14ac:dyDescent="0.35">
      <c r="A69" s="13" t="s">
        <v>62</v>
      </c>
      <c r="B69" s="13">
        <v>801.21</v>
      </c>
      <c r="C69" s="13">
        <v>404.65</v>
      </c>
      <c r="D69" s="13">
        <v>444.88</v>
      </c>
      <c r="E69" s="13">
        <v>782.83</v>
      </c>
      <c r="F69" s="13">
        <v>610.75</v>
      </c>
      <c r="G69" s="13">
        <v>864.33</v>
      </c>
      <c r="H69" s="13">
        <v>843.82</v>
      </c>
      <c r="I69" s="13">
        <v>1084.01</v>
      </c>
      <c r="J69" s="13">
        <v>781.98</v>
      </c>
      <c r="K69" s="13">
        <v>1073.68</v>
      </c>
    </row>
    <row r="70" spans="1:11" ht="14.25" customHeight="1" x14ac:dyDescent="0.35">
      <c r="A70" s="13" t="s">
        <v>216</v>
      </c>
      <c r="B70" s="13">
        <v>959197790</v>
      </c>
      <c r="C70" s="13">
        <v>959197790</v>
      </c>
      <c r="D70" s="13">
        <v>959197790</v>
      </c>
      <c r="E70" s="13">
        <v>959197790</v>
      </c>
      <c r="F70" s="13">
        <v>959197790</v>
      </c>
      <c r="G70" s="13">
        <v>959197790</v>
      </c>
      <c r="H70" s="13">
        <v>959197790</v>
      </c>
      <c r="I70" s="13">
        <v>959197790</v>
      </c>
      <c r="J70" s="13">
        <v>959197790</v>
      </c>
      <c r="K70" s="13">
        <v>959197790</v>
      </c>
    </row>
    <row r="71" spans="1:11" ht="14.25" customHeight="1" x14ac:dyDescent="0.35">
      <c r="A71" s="13" t="s">
        <v>217</v>
      </c>
    </row>
    <row r="72" spans="1:11" ht="14.25" customHeight="1" x14ac:dyDescent="0.35">
      <c r="A72" s="13" t="s">
        <v>218</v>
      </c>
      <c r="B72" s="13">
        <v>1</v>
      </c>
      <c r="C72" s="13">
        <v>1</v>
      </c>
      <c r="D72" s="13">
        <v>1</v>
      </c>
      <c r="E72" s="13">
        <v>1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3">
        <v>1</v>
      </c>
    </row>
    <row r="80" spans="1:11" ht="14.25" customHeight="1" x14ac:dyDescent="0.35">
      <c r="A80" s="10" t="s">
        <v>219</v>
      </c>
    </row>
    <row r="81" spans="1:11" s="48" customFormat="1" ht="14.25" customHeight="1" x14ac:dyDescent="0.35">
      <c r="A81" s="46" t="s">
        <v>203</v>
      </c>
      <c r="B81" s="47">
        <v>42825</v>
      </c>
      <c r="C81" s="47">
        <v>43190</v>
      </c>
      <c r="D81" s="47">
        <v>43555</v>
      </c>
      <c r="E81" s="47">
        <v>43921</v>
      </c>
      <c r="F81" s="47">
        <v>44286</v>
      </c>
      <c r="G81" s="47">
        <v>44651</v>
      </c>
      <c r="H81" s="47">
        <v>45016</v>
      </c>
      <c r="I81" s="47">
        <v>45382</v>
      </c>
      <c r="J81" s="47">
        <v>45747</v>
      </c>
      <c r="K81" s="47">
        <v>46112</v>
      </c>
    </row>
    <row r="82" spans="1:11" s="10" customFormat="1" ht="14.25" customHeight="1" x14ac:dyDescent="0.35">
      <c r="A82" s="13" t="s">
        <v>220</v>
      </c>
      <c r="B82" s="10">
        <v>1527.33</v>
      </c>
      <c r="C82" s="10">
        <v>2113.44</v>
      </c>
      <c r="D82" s="10">
        <v>2469.54</v>
      </c>
      <c r="E82" s="10">
        <v>3038.15</v>
      </c>
      <c r="F82" s="10">
        <v>3683.35</v>
      </c>
      <c r="G82" s="10">
        <v>986.49</v>
      </c>
      <c r="H82" s="10">
        <v>4193.43</v>
      </c>
      <c r="I82" s="10">
        <v>6103.6</v>
      </c>
      <c r="J82" s="10">
        <v>4423.96</v>
      </c>
      <c r="K82" s="10">
        <v>7088.18</v>
      </c>
    </row>
    <row r="83" spans="1:11" ht="14.25" customHeight="1" x14ac:dyDescent="0.35">
      <c r="A83" s="13" t="s">
        <v>221</v>
      </c>
      <c r="B83" s="13">
        <v>-681.11</v>
      </c>
      <c r="C83" s="13">
        <v>-1556.14</v>
      </c>
      <c r="D83" s="13">
        <v>-917.79</v>
      </c>
      <c r="E83" s="13">
        <v>-517.91</v>
      </c>
      <c r="F83" s="13">
        <v>-540.54</v>
      </c>
      <c r="G83" s="13">
        <v>-316.75</v>
      </c>
      <c r="H83" s="13">
        <v>-1282.3399999999999</v>
      </c>
      <c r="I83" s="13">
        <v>-2548.48</v>
      </c>
      <c r="J83" s="13">
        <v>-940.91</v>
      </c>
      <c r="K83" s="13">
        <v>-1328.23</v>
      </c>
    </row>
    <row r="84" spans="1:11" ht="14.25" customHeight="1" x14ac:dyDescent="0.35">
      <c r="A84" s="13" t="s">
        <v>222</v>
      </c>
      <c r="B84" s="13">
        <v>-756.43</v>
      </c>
      <c r="C84" s="13">
        <v>-1379.14</v>
      </c>
      <c r="D84" s="13">
        <v>-1117.46</v>
      </c>
      <c r="E84" s="13">
        <v>-2871.46</v>
      </c>
      <c r="F84" s="13">
        <v>-650.4</v>
      </c>
      <c r="G84" s="13">
        <v>-1807.61</v>
      </c>
      <c r="H84" s="13">
        <v>-2140.0500000000002</v>
      </c>
      <c r="I84" s="13">
        <v>-2982.5</v>
      </c>
      <c r="J84" s="13">
        <v>-3752.58</v>
      </c>
      <c r="K84" s="13">
        <v>-2376.5100000000002</v>
      </c>
    </row>
    <row r="85" spans="1:11" s="10" customFormat="1" ht="14.25" customHeight="1" x14ac:dyDescent="0.35">
      <c r="A85" s="13" t="s">
        <v>223</v>
      </c>
      <c r="B85" s="10">
        <v>89.79</v>
      </c>
      <c r="C85" s="10">
        <v>-821.84</v>
      </c>
      <c r="D85" s="10">
        <v>434.29</v>
      </c>
      <c r="E85" s="10">
        <v>-351.22</v>
      </c>
      <c r="F85" s="10">
        <v>2492.41</v>
      </c>
      <c r="G85" s="10">
        <v>-1137.8699999999999</v>
      </c>
      <c r="H85" s="10">
        <v>771.04</v>
      </c>
      <c r="I85" s="10">
        <v>572.62</v>
      </c>
      <c r="J85" s="10">
        <v>-269.52999999999997</v>
      </c>
      <c r="K85" s="10">
        <v>3383.44</v>
      </c>
    </row>
    <row r="86" spans="1:11" ht="14.25" customHeight="1" x14ac:dyDescent="0.35">
      <c r="F86" s="13">
        <f t="shared" ref="F86:K86" si="0">SUM(E67:E68)-SUM(F67:F68)</f>
        <v>-1215.7400000000007</v>
      </c>
      <c r="G86" s="13">
        <f t="shared" si="0"/>
        <v>-3623.6499999999996</v>
      </c>
      <c r="H86" s="13">
        <f t="shared" si="0"/>
        <v>-823.15999999999985</v>
      </c>
      <c r="I86" s="13">
        <f t="shared" si="0"/>
        <v>35.1200000000008</v>
      </c>
      <c r="J86" s="13">
        <f t="shared" si="0"/>
        <v>-220.46000000000095</v>
      </c>
      <c r="K86" s="13">
        <f t="shared" si="0"/>
        <v>827.43000000000029</v>
      </c>
    </row>
    <row r="87" spans="1:11" ht="14.25" customHeight="1" x14ac:dyDescent="0.35">
      <c r="F87" s="13">
        <f t="shared" ref="F87:K87" si="1">F86+F83</f>
        <v>-1756.2800000000007</v>
      </c>
      <c r="G87" s="13">
        <f t="shared" si="1"/>
        <v>-3940.3999999999996</v>
      </c>
      <c r="H87" s="13">
        <f t="shared" si="1"/>
        <v>-2105.5</v>
      </c>
      <c r="I87" s="13">
        <f t="shared" si="1"/>
        <v>-2513.3599999999992</v>
      </c>
      <c r="J87" s="13">
        <f t="shared" si="1"/>
        <v>-1161.3700000000008</v>
      </c>
      <c r="K87" s="13">
        <f t="shared" si="1"/>
        <v>-500.79999999999973</v>
      </c>
    </row>
    <row r="88" spans="1:11" ht="14.25" customHeight="1" x14ac:dyDescent="0.35">
      <c r="A88" s="13" t="s">
        <v>82</v>
      </c>
      <c r="F88" s="13">
        <f>'DCF Model'!C53*(1-tax_rate)</f>
        <v>3048.2475000000022</v>
      </c>
      <c r="G88" s="13">
        <f>'DCF Model'!D53*(1-tax_rate)</f>
        <v>2990.4374999999995</v>
      </c>
      <c r="H88" s="13">
        <f>'DCF Model'!E53*(1-tax_rate)</f>
        <v>4051.3649999999971</v>
      </c>
      <c r="I88" s="13">
        <f>'DCF Model'!F53*(1-tax_rate)</f>
        <v>5048.9850000000024</v>
      </c>
      <c r="J88" s="13">
        <f>'DCF Model'!G53*(1-tax_rate)</f>
        <v>3734.9025000000006</v>
      </c>
      <c r="K88" s="13">
        <f>'DCF Model'!H53*(1-tax_rate)</f>
        <v>4103.1600000000017</v>
      </c>
    </row>
    <row r="89" spans="1:11" ht="14.25" customHeight="1" x14ac:dyDescent="0.35">
      <c r="F89" s="12">
        <f t="shared" ref="F89:K89" si="2">F87/F88</f>
        <v>-0.5761605643898664</v>
      </c>
      <c r="G89" s="12">
        <f t="shared" si="2"/>
        <v>-1.3176667293665225</v>
      </c>
      <c r="H89" s="12">
        <f t="shared" si="2"/>
        <v>-0.51970138459506898</v>
      </c>
      <c r="I89" s="12">
        <f t="shared" si="2"/>
        <v>-0.49779510139166544</v>
      </c>
      <c r="J89" s="12">
        <f t="shared" si="2"/>
        <v>-0.3109505535954421</v>
      </c>
      <c r="K89" s="12">
        <f t="shared" si="2"/>
        <v>-0.12205227190750532</v>
      </c>
    </row>
    <row r="91" spans="1:11" s="10" customFormat="1" ht="14.25" customHeight="1" x14ac:dyDescent="0.35">
      <c r="A91" s="10" t="s">
        <v>224</v>
      </c>
      <c r="B91" s="10">
        <v>1073.5</v>
      </c>
      <c r="C91" s="10">
        <v>1120.4000000000001</v>
      </c>
      <c r="D91" s="10">
        <v>1492.7</v>
      </c>
      <c r="E91" s="10">
        <v>1666.5</v>
      </c>
      <c r="F91" s="10">
        <v>2537.4</v>
      </c>
      <c r="G91" s="10">
        <v>3079.95</v>
      </c>
      <c r="H91" s="10">
        <v>2761.65</v>
      </c>
      <c r="I91" s="10">
        <v>2846.75</v>
      </c>
      <c r="J91" s="10">
        <v>2340.65</v>
      </c>
      <c r="K91" s="10">
        <v>2165.1999999999998</v>
      </c>
    </row>
    <row r="93" spans="1:11" s="10" customFormat="1" ht="14.25" customHeight="1" x14ac:dyDescent="0.35">
      <c r="A93" s="10" t="s">
        <v>225</v>
      </c>
    </row>
    <row r="94" spans="1:11" ht="14.25" customHeight="1" x14ac:dyDescent="0.35">
      <c r="A94" s="13" t="s">
        <v>226</v>
      </c>
      <c r="B94" s="49">
        <v>95.92</v>
      </c>
      <c r="C94" s="49">
        <v>95.92</v>
      </c>
      <c r="D94" s="49">
        <v>95.92</v>
      </c>
      <c r="E94" s="49">
        <v>95.92</v>
      </c>
      <c r="F94" s="49">
        <v>95.92</v>
      </c>
      <c r="G94" s="49">
        <v>95.92</v>
      </c>
      <c r="H94" s="49">
        <v>95.92</v>
      </c>
      <c r="I94" s="49">
        <v>95.92</v>
      </c>
      <c r="J94" s="49">
        <v>95.92</v>
      </c>
      <c r="K94" s="49">
        <v>95.92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DCF Model</vt:lpstr>
      <vt:lpstr>Comps</vt:lpstr>
      <vt:lpstr>Data Sheet</vt:lpstr>
      <vt:lpstr>tax_rate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Daware</dc:creator>
  <dc:description/>
  <cp:lastModifiedBy>Manoj Daware</cp:lastModifiedBy>
  <cp:revision>0</cp:revision>
  <dcterms:created xsi:type="dcterms:W3CDTF">2026-07-23T09:52:37Z</dcterms:created>
  <dcterms:modified xsi:type="dcterms:W3CDTF">2026-07-30T09:24:16Z</dcterms:modified>
  <dc:language>en-US</dc:language>
</cp:coreProperties>
</file>